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" sheetId="1" r:id="rId4"/>
    <sheet state="visible" name="AD1" sheetId="2" r:id="rId5"/>
    <sheet state="visible" name="AD2" sheetId="3" r:id="rId6"/>
    <sheet state="visible" name="AD3" sheetId="4" r:id="rId7"/>
    <sheet state="visible" name="AD4" sheetId="5" r:id="rId8"/>
    <sheet state="visible" name="AD5" sheetId="6" r:id="rId9"/>
    <sheet state="visible" name="AD6" sheetId="7" r:id="rId10"/>
    <sheet state="visible" name="AD7" sheetId="8" r:id="rId11"/>
    <sheet state="visible" name="AD8" sheetId="9" r:id="rId12"/>
    <sheet state="visible" name="Puntaje" sheetId="10" r:id="rId13"/>
  </sheets>
  <definedNames/>
  <calcPr/>
  <extLst>
    <ext uri="GoogleSheetsCustomDataVersion2">
      <go:sheetsCustomData xmlns:go="http://customooxmlschemas.google.com/" r:id="rId14" roundtripDataChecksum="CA8hO5t/ycm8WCG6yYf1mk7eR/tNvjJ86Ea7c6qto5o="/>
    </ext>
  </extLst>
</workbook>
</file>

<file path=xl/sharedStrings.xml><?xml version="1.0" encoding="utf-8"?>
<sst xmlns="http://schemas.openxmlformats.org/spreadsheetml/2006/main" count="932" uniqueCount="454">
  <si>
    <r>
      <rPr>
        <rFont val="Arial"/>
        <b/>
        <i/>
        <color theme="1"/>
        <sz val="12.0"/>
      </rPr>
      <t>Tabla 3</t>
    </r>
    <r>
      <rPr>
        <rFont val="Arial"/>
        <color theme="1"/>
        <sz val="12.0"/>
      </rPr>
      <t xml:space="preserve">: </t>
    </r>
  </si>
  <si>
    <r>
      <rPr>
        <rFont val="Arial"/>
        <color theme="1"/>
      </rPr>
      <t>AD</t>
    </r>
    <r>
      <rPr>
        <rFont val="Arial"/>
        <color theme="1"/>
        <sz val="12.0"/>
        <vertAlign val="subscript"/>
      </rPr>
      <t>3</t>
    </r>
    <r>
      <rPr>
        <rFont val="Arial"/>
        <color theme="1"/>
        <sz val="12.0"/>
      </rPr>
      <t>- Docencia en las carreras de pregrado y grado de la unidad académica en el Año</t>
    </r>
  </si>
  <si>
    <r>
      <rPr>
        <rFont val="Arial"/>
        <b/>
        <i/>
        <color theme="1"/>
        <sz val="12.0"/>
      </rPr>
      <t>Cuadro 2.4.3.1:</t>
    </r>
    <r>
      <rPr>
        <rFont val="Arial"/>
        <color theme="1"/>
        <sz val="12.0"/>
      </rPr>
      <t xml:space="preserve"> Ponderación de los espacios curriculares (Ec) según complejidad</t>
    </r>
  </si>
  <si>
    <r>
      <rPr>
        <rFont val="Arial"/>
        <color theme="1"/>
      </rPr>
      <t>Puntajes y categorías alcanzados por el docente en los p años informados para la actividad docente AD</t>
    </r>
    <r>
      <rPr>
        <rFont val="Arial"/>
        <color theme="1"/>
        <sz val="12.0"/>
        <vertAlign val="subscript"/>
      </rPr>
      <t>1</t>
    </r>
  </si>
  <si>
    <t>Año</t>
  </si>
  <si>
    <t>Período</t>
  </si>
  <si>
    <t>Carrera</t>
  </si>
  <si>
    <r>
      <rPr>
        <rFont val="Arial"/>
        <b/>
        <i/>
        <color theme="1"/>
        <sz val="12.0"/>
      </rPr>
      <t>Tabla 4</t>
    </r>
    <r>
      <rPr>
        <rFont val="Arial"/>
        <color theme="1"/>
        <sz val="12.0"/>
      </rPr>
      <t xml:space="preserve">: </t>
    </r>
  </si>
  <si>
    <t>Espacio Curricular</t>
  </si>
  <si>
    <r>
      <rPr>
        <rFont val="Arial"/>
        <color theme="1"/>
      </rPr>
      <t>Puntajes y categorías alcanzados por el docente en los p años informados para la actividad docente AD</t>
    </r>
    <r>
      <rPr>
        <rFont val="Arial"/>
        <color theme="1"/>
        <sz val="12.0"/>
        <vertAlign val="subscript"/>
      </rPr>
      <t>2</t>
    </r>
  </si>
  <si>
    <t>Tipos de Espacio</t>
  </si>
  <si>
    <t>Dotación Acorde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</si>
  <si>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</t>
    </r>
    <r>
      <rPr>
        <rFont val="Arial"/>
        <b/>
        <i/>
        <color theme="1"/>
        <sz val="12.0"/>
      </rPr>
      <t xml:space="preserve"> - Actualización y capacitación en docencia</t>
    </r>
  </si>
  <si>
    <t>Carga</t>
  </si>
  <si>
    <t>Estudiantes</t>
  </si>
  <si>
    <t>Docencia</t>
  </si>
  <si>
    <t xml:space="preserve"> </t>
  </si>
  <si>
    <r>
      <rPr>
        <rFont val="Arial"/>
        <b/>
        <i/>
        <color theme="1"/>
        <sz val="12.0"/>
      </rPr>
      <t>Cuadro 2.4.1.1</t>
    </r>
    <r>
      <rPr>
        <rFont val="Arial"/>
        <i/>
        <color theme="1"/>
        <sz val="12.0"/>
      </rPr>
      <t>:</t>
    </r>
    <r>
      <rPr>
        <rFont val="Arial"/>
        <color theme="1"/>
        <sz val="12.0"/>
      </rPr>
      <t xml:space="preserve"> Puntaje (w) según formación académica</t>
    </r>
  </si>
  <si>
    <t>Tipo de Ec</t>
  </si>
  <si>
    <r>
      <rPr>
        <rFont val="Arial"/>
        <b/>
        <i/>
        <color theme="1"/>
        <sz val="12.0"/>
      </rPr>
      <t>Cuadro 2.4.2.1</t>
    </r>
    <r>
      <rPr>
        <rFont val="Arial"/>
        <color theme="1"/>
        <sz val="12.0"/>
      </rPr>
      <t>: Horas- créditos según actividad de la dimensión</t>
    </r>
  </si>
  <si>
    <r>
      <rPr>
        <rFont val="Arial"/>
        <b/>
        <i/>
        <color theme="1"/>
      </rPr>
      <t>Cuadro 2.4.1.2:</t>
    </r>
    <r>
      <rPr>
        <rFont val="Arial"/>
        <color theme="1"/>
      </rPr>
      <t xml:space="preserve"> Mínimos y superiores de PD1 según categoría docente</t>
    </r>
  </si>
  <si>
    <t>Complejidad</t>
  </si>
  <si>
    <t>Dotación Acorde (Dac)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</si>
  <si>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1</t>
    </r>
    <r>
      <rPr>
        <rFont val="Arial"/>
        <b/>
        <i/>
        <color theme="1"/>
        <sz val="12.0"/>
      </rPr>
      <t xml:space="preserve"> - Formación Académica en el Año</t>
    </r>
  </si>
  <si>
    <t>Nombre del curso</t>
  </si>
  <si>
    <t xml:space="preserve">Institución </t>
  </si>
  <si>
    <t>Lugar</t>
  </si>
  <si>
    <t>Fecha</t>
  </si>
  <si>
    <r>
      <rPr>
        <rFont val="Arial"/>
        <b/>
        <i/>
        <color theme="1"/>
        <sz val="12.0"/>
      </rPr>
      <t>fa</t>
    </r>
    <r>
      <rPr>
        <rFont val="Arial"/>
        <b/>
        <i/>
        <color theme="1"/>
        <sz val="12.0"/>
        <vertAlign val="subscript"/>
      </rPr>
      <t>i1</t>
    </r>
  </si>
  <si>
    <t>Cursos</t>
  </si>
  <si>
    <t>Taller</t>
  </si>
  <si>
    <r>
      <rPr>
        <rFont val="Arial"/>
        <b/>
        <i/>
        <color theme="1"/>
        <sz val="12.0"/>
      </rPr>
      <t>c</t>
    </r>
    <r>
      <rPr>
        <rFont val="Arial"/>
        <b/>
        <i/>
        <color theme="1"/>
        <sz val="12.0"/>
        <vertAlign val="subscript"/>
      </rPr>
      <t>i1</t>
    </r>
  </si>
  <si>
    <t>Curricular</t>
  </si>
  <si>
    <t>Tec</t>
  </si>
  <si>
    <t>Asistencia</t>
  </si>
  <si>
    <t>Horaria</t>
  </si>
  <si>
    <t>Inscriptos</t>
  </si>
  <si>
    <r>
      <rPr>
        <rFont val="Arial"/>
        <b/>
        <i/>
        <color theme="1"/>
        <sz val="12.0"/>
      </rPr>
      <t>(fa.c.w</t>
    </r>
    <r>
      <rPr>
        <rFont val="Arial"/>
        <b/>
        <i/>
        <color theme="1"/>
        <sz val="12.0"/>
        <vertAlign val="subscript"/>
      </rPr>
      <t>fa</t>
    </r>
    <r>
      <rPr>
        <rFont val="Arial"/>
        <b/>
        <i/>
        <color theme="1"/>
        <sz val="12.0"/>
      </rPr>
      <t>)</t>
    </r>
    <r>
      <rPr>
        <rFont val="Arial"/>
        <b/>
        <i/>
        <color theme="1"/>
        <sz val="12.0"/>
        <vertAlign val="subscript"/>
      </rPr>
      <t>i1</t>
    </r>
  </si>
  <si>
    <t>Aprobado</t>
  </si>
  <si>
    <t>pre y grado</t>
  </si>
  <si>
    <t>Form Oblig</t>
  </si>
  <si>
    <r>
      <rPr>
        <rFont val="Arial"/>
        <b/>
        <i/>
        <color theme="1"/>
        <sz val="12.0"/>
      </rPr>
      <t>fa</t>
    </r>
    <r>
      <rPr>
        <rFont val="Arial"/>
        <b/>
        <i/>
        <color theme="1"/>
        <sz val="12.0"/>
        <vertAlign val="subscript"/>
      </rPr>
      <t>i2</t>
    </r>
  </si>
  <si>
    <t>Horas</t>
  </si>
  <si>
    <r>
      <rPr>
        <rFont val="Arial"/>
        <b/>
        <i/>
        <color theme="1"/>
        <sz val="12.0"/>
      </rPr>
      <t>c</t>
    </r>
    <r>
      <rPr>
        <rFont val="Arial"/>
        <b/>
        <i/>
        <color theme="1"/>
        <sz val="12.0"/>
        <vertAlign val="subscript"/>
      </rPr>
      <t>i2</t>
    </r>
  </si>
  <si>
    <r>
      <rPr>
        <rFont val="Arial"/>
        <b/>
        <i/>
        <color theme="1"/>
        <sz val="12.0"/>
      </rPr>
      <t>(fa.c.w</t>
    </r>
    <r>
      <rPr>
        <rFont val="Arial"/>
        <b/>
        <i/>
        <color theme="1"/>
        <sz val="12.0"/>
        <vertAlign val="subscript"/>
      </rPr>
      <t>fa</t>
    </r>
    <r>
      <rPr>
        <rFont val="Arial"/>
        <b/>
        <i/>
        <color theme="1"/>
        <sz val="12.0"/>
      </rPr>
      <t>)</t>
    </r>
    <r>
      <rPr>
        <rFont val="Arial"/>
        <b/>
        <i/>
        <color theme="1"/>
        <sz val="12.0"/>
        <vertAlign val="subscript"/>
      </rPr>
      <t>i2</t>
    </r>
  </si>
  <si>
    <r>
      <rPr>
        <rFont val="Arial"/>
        <b/>
        <i/>
        <color theme="1"/>
        <sz val="12.0"/>
      </rPr>
      <t>acw</t>
    </r>
    <r>
      <rPr>
        <rFont val="Arial"/>
        <b/>
        <i/>
        <color theme="1"/>
        <sz val="12.0"/>
        <vertAlign val="subscript"/>
      </rPr>
      <t>i1</t>
    </r>
  </si>
  <si>
    <t>Asignaturas teóricas</t>
  </si>
  <si>
    <r>
      <rPr>
        <rFont val="Arial"/>
        <b/>
        <i/>
        <color theme="1"/>
        <sz val="12.0"/>
      </rPr>
      <t>fa</t>
    </r>
    <r>
      <rPr>
        <rFont val="Arial"/>
        <b/>
        <i/>
        <color theme="1"/>
        <sz val="12.0"/>
        <vertAlign val="subscript"/>
      </rPr>
      <t>i3</t>
    </r>
  </si>
  <si>
    <r>
      <rPr>
        <rFont val="Arial"/>
        <b/>
        <i/>
        <color theme="1"/>
        <sz val="12.0"/>
      </rPr>
      <t>c</t>
    </r>
    <r>
      <rPr>
        <rFont val="Arial"/>
        <b/>
        <i/>
        <color theme="1"/>
        <sz val="12.0"/>
        <vertAlign val="subscript"/>
      </rPr>
      <t>i3</t>
    </r>
  </si>
  <si>
    <t>(p)</t>
  </si>
  <si>
    <t>Pasantía</t>
  </si>
  <si>
    <r>
      <rPr>
        <rFont val="Arial"/>
        <b/>
        <i/>
        <color theme="1"/>
        <sz val="12.0"/>
      </rPr>
      <t>(fa.c.w</t>
    </r>
    <r>
      <rPr>
        <rFont val="Arial"/>
        <b/>
        <i/>
        <color theme="1"/>
        <sz val="12.0"/>
        <vertAlign val="subscript"/>
      </rPr>
      <t>fa</t>
    </r>
    <r>
      <rPr>
        <rFont val="Arial"/>
        <b/>
        <i/>
        <color theme="1"/>
        <sz val="12.0"/>
      </rPr>
      <t>)</t>
    </r>
    <r>
      <rPr>
        <rFont val="Arial"/>
        <b/>
        <i/>
        <color theme="1"/>
        <sz val="12.0"/>
        <vertAlign val="subscript"/>
      </rPr>
      <t>i3</t>
    </r>
  </si>
  <si>
    <t>Distinción</t>
  </si>
  <si>
    <t>(Ec)</t>
  </si>
  <si>
    <t>(Tec)</t>
  </si>
  <si>
    <r>
      <rPr>
        <rFont val="Arial"/>
        <b/>
        <i/>
        <color theme="1"/>
        <sz val="12.0"/>
      </rPr>
      <t>fa</t>
    </r>
    <r>
      <rPr>
        <rFont val="Arial"/>
        <b/>
        <i/>
        <color theme="1"/>
        <sz val="12.0"/>
        <vertAlign val="subscript"/>
      </rPr>
      <t>i4</t>
    </r>
  </si>
  <si>
    <r>
      <rPr>
        <rFont val="Arial"/>
        <b/>
        <i/>
        <color theme="1"/>
        <sz val="12.0"/>
      </rPr>
      <t>ac</t>
    </r>
    <r>
      <rPr>
        <rFont val="Arial"/>
        <b/>
        <i/>
        <color theme="1"/>
        <sz val="12.0"/>
        <vertAlign val="subscript"/>
      </rPr>
      <t>i1</t>
    </r>
  </si>
  <si>
    <t>(Dac)</t>
  </si>
  <si>
    <t>(Ch)</t>
  </si>
  <si>
    <r>
      <rPr>
        <rFont val="Arial"/>
        <b/>
        <i/>
        <color theme="1"/>
        <sz val="12.0"/>
      </rPr>
      <t>c</t>
    </r>
    <r>
      <rPr>
        <rFont val="Arial"/>
        <b/>
        <i/>
        <color theme="1"/>
        <sz val="12.0"/>
        <vertAlign val="subscript"/>
      </rPr>
      <t>i4</t>
    </r>
  </si>
  <si>
    <t xml:space="preserve">Actualización y Capacitación </t>
  </si>
  <si>
    <t>(Cei)</t>
  </si>
  <si>
    <r>
      <rPr>
        <rFont val="Arial"/>
        <color theme="1"/>
        <sz val="12.0"/>
      </rPr>
      <t>dg</t>
    </r>
    <r>
      <rPr>
        <rFont val="Arial"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</si>
  <si>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(fa.c.w</t>
    </r>
    <r>
      <rPr>
        <rFont val="Arial"/>
        <b/>
        <i/>
        <color theme="1"/>
        <sz val="14.0"/>
        <vertAlign val="subscript"/>
      </rPr>
      <t>fa</t>
    </r>
    <r>
      <rPr>
        <rFont val="Arial"/>
        <b/>
        <i/>
        <color theme="1"/>
        <sz val="12.0"/>
      </rPr>
      <t>)</t>
    </r>
    <r>
      <rPr>
        <rFont val="Arial"/>
        <b/>
        <i/>
        <color theme="1"/>
        <sz val="12.0"/>
        <vertAlign val="subscript"/>
      </rPr>
      <t>i4</t>
    </r>
  </si>
  <si>
    <t>Formación  Académica</t>
  </si>
  <si>
    <r>
      <rPr>
        <rFont val="Arial"/>
        <b/>
        <i/>
        <color theme="1"/>
        <sz val="12.0"/>
      </rPr>
      <t>w</t>
    </r>
    <r>
      <rPr>
        <rFont val="Arial"/>
        <b/>
        <i/>
        <color theme="1"/>
        <sz val="12.0"/>
        <vertAlign val="subscript"/>
      </rPr>
      <t>cp</t>
    </r>
  </si>
  <si>
    <r>
      <rPr>
        <rFont val="Arial"/>
        <b/>
        <i/>
        <color theme="1"/>
        <sz val="12.0"/>
      </rPr>
      <t>w</t>
    </r>
    <r>
      <rPr>
        <rFont val="Arial"/>
        <b/>
        <i/>
        <color theme="1"/>
        <sz val="14.0"/>
        <vertAlign val="subscript"/>
      </rPr>
      <t>fa</t>
    </r>
  </si>
  <si>
    <t>Categoría</t>
  </si>
  <si>
    <t>Asignaturas teóricas-aplicadas</t>
  </si>
  <si>
    <t>Minimo</t>
  </si>
  <si>
    <t>Variable Aleatoria</t>
  </si>
  <si>
    <t>Superior</t>
  </si>
  <si>
    <t>GAB</t>
  </si>
  <si>
    <t>IA</t>
  </si>
  <si>
    <t>Tucumán</t>
  </si>
  <si>
    <t>Pregrado</t>
  </si>
  <si>
    <t>Estadística y Diseño Experimental</t>
  </si>
  <si>
    <t>Titular (T)</t>
  </si>
  <si>
    <t>Talleres y Laboratorios</t>
  </si>
  <si>
    <t>Grado</t>
  </si>
  <si>
    <t>LB</t>
  </si>
  <si>
    <t>Estadística Aplicada</t>
  </si>
  <si>
    <t>Prácticas de campo supervisadas</t>
  </si>
  <si>
    <t>Asociado (AS)</t>
  </si>
  <si>
    <t>IRN</t>
  </si>
  <si>
    <t>Bioestadística</t>
  </si>
  <si>
    <t>Posdoctorado</t>
  </si>
  <si>
    <t>Asistencia y Aprobado</t>
  </si>
  <si>
    <t>Distribuciones</t>
  </si>
  <si>
    <t>Seminarios</t>
  </si>
  <si>
    <t>Adjunto (AJ)</t>
  </si>
  <si>
    <t>B</t>
  </si>
  <si>
    <t>Estadística Módulo I</t>
  </si>
  <si>
    <t>Doctorado</t>
  </si>
  <si>
    <t>Binomial</t>
  </si>
  <si>
    <t>Jefe de Trabajos Prácticos (JTP)</t>
  </si>
  <si>
    <t>Seminarios tutoriados</t>
  </si>
  <si>
    <t>Tipos de Formación</t>
  </si>
  <si>
    <t>Maestría</t>
  </si>
  <si>
    <t>Herramientas Básicas de Informática</t>
  </si>
  <si>
    <t>Talleres</t>
  </si>
  <si>
    <t>Ayudante de Primera (AY1)</t>
  </si>
  <si>
    <t>i</t>
  </si>
  <si>
    <t>Especialización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</si>
  <si>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21</t>
    </r>
  </si>
  <si>
    <t>Referencia: Mapa Docendi</t>
  </si>
  <si>
    <t>Informática Aplicada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</si>
  <si>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21</t>
    </r>
  </si>
  <si>
    <t>Ayudante de Segunda (AY2)</t>
  </si>
  <si>
    <t xml:space="preserve">Formaciones Obligatorias (ODS, ley Micaela, etc) </t>
  </si>
  <si>
    <t>Diplomado</t>
  </si>
  <si>
    <t>Aplicación de Programas Informáticos</t>
  </si>
  <si>
    <t>Estandarización según el Mapa Docendi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</si>
  <si>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</t>
    </r>
    <r>
      <rPr>
        <rFont val="Arial"/>
        <b/>
        <i/>
        <color theme="1"/>
        <sz val="12.0"/>
      </rPr>
      <t xml:space="preserve"> - Actualización y capacitación en docencia</t>
    </r>
  </si>
  <si>
    <t>Che</t>
  </si>
  <si>
    <r>
      <rPr>
        <rFont val="Arial"/>
        <b/>
        <color theme="1"/>
        <sz val="12.0"/>
      </rPr>
      <t>PD</t>
    </r>
    <r>
      <rPr>
        <rFont val="Arial"/>
        <b/>
        <color theme="1"/>
        <sz val="12.0"/>
        <vertAlign val="subscript"/>
      </rPr>
      <t>31</t>
    </r>
  </si>
  <si>
    <r>
      <rPr>
        <rFont val="Arial"/>
        <b/>
        <i/>
        <color theme="1"/>
        <sz val="12.0"/>
      </rPr>
      <t>Tabla 1</t>
    </r>
    <r>
      <rPr>
        <rFont val="Arial"/>
        <color theme="1"/>
        <sz val="12.0"/>
      </rPr>
      <t xml:space="preserve">: 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</si>
  <si>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11</t>
    </r>
  </si>
  <si>
    <t>Ïndece de actividad docente parcial y final durante un período de 4 años</t>
  </si>
  <si>
    <t>Tabla 2:</t>
  </si>
  <si>
    <t>Umbral básico fijado</t>
  </si>
  <si>
    <t>según la categoría y dedicación del docente</t>
  </si>
  <si>
    <t>Cee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</si>
  <si>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12</t>
    </r>
  </si>
  <si>
    <t>Dedicación</t>
  </si>
  <si>
    <t>Licencias</t>
  </si>
  <si>
    <r>
      <rPr>
        <rFont val="Arial"/>
        <b/>
        <i/>
        <color theme="1"/>
        <sz val="12.0"/>
      </rPr>
      <t>acw</t>
    </r>
    <r>
      <rPr>
        <rFont val="Arial"/>
        <b/>
        <i/>
        <color theme="1"/>
        <sz val="12.0"/>
        <vertAlign val="subscript"/>
      </rPr>
      <t>i2</t>
    </r>
  </si>
  <si>
    <t>Corrección temporal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</si>
  <si>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13</t>
    </r>
  </si>
  <si>
    <r>
      <rPr>
        <rFont val="Arial"/>
        <b/>
        <color theme="1"/>
        <sz val="12.0"/>
      </rPr>
      <t>AD</t>
    </r>
    <r>
      <rPr>
        <rFont val="Arial"/>
        <b/>
        <color theme="1"/>
        <sz val="12.0"/>
        <vertAlign val="subscript"/>
      </rPr>
      <t>31</t>
    </r>
  </si>
  <si>
    <t>Actividad Docente</t>
  </si>
  <si>
    <r>
      <rPr>
        <rFont val="Arial"/>
        <b/>
        <i/>
        <color theme="1"/>
        <sz val="12.0"/>
      </rPr>
      <t>ac</t>
    </r>
    <r>
      <rPr>
        <rFont val="Arial"/>
        <b/>
        <i/>
        <color theme="1"/>
        <sz val="12.0"/>
        <vertAlign val="subscript"/>
      </rPr>
      <t>i2</t>
    </r>
  </si>
  <si>
    <r>
      <rPr>
        <rFont val="Arial"/>
        <b/>
        <i/>
        <color theme="1"/>
        <sz val="12.0"/>
      </rPr>
      <t>Cuadro 2.4.2.2</t>
    </r>
    <r>
      <rPr>
        <rFont val="Arial"/>
        <color theme="1"/>
        <sz val="12.0"/>
      </rPr>
      <t>: Créditos según actividad de la dimensión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</si>
  <si>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14</t>
    </r>
  </si>
  <si>
    <t>Umbral</t>
  </si>
  <si>
    <t>Análiisis de dato</t>
  </si>
  <si>
    <t>Índice de Actividad</t>
  </si>
  <si>
    <t>FCA</t>
  </si>
  <si>
    <t>Mendoza</t>
  </si>
  <si>
    <r>
      <rPr>
        <rFont val="Arial"/>
        <b/>
        <i/>
        <color theme="1"/>
        <sz val="12.0"/>
      </rPr>
      <t>Cuadro 2.4.3.2: Caracterización de AD</t>
    </r>
    <r>
      <rPr>
        <rFont val="Arial"/>
        <b/>
        <i/>
        <color theme="1"/>
        <sz val="12.0"/>
        <vertAlign val="subscript"/>
      </rPr>
      <t>3</t>
    </r>
  </si>
  <si>
    <t>Umbral Básico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</si>
  <si>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11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</si>
  <si>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3</t>
    </r>
  </si>
  <si>
    <r>
      <rPr>
        <rFont val="Arial"/>
        <b/>
        <i/>
        <color theme="1"/>
        <sz val="12.0"/>
      </rPr>
      <t>Categoría AD</t>
    </r>
    <r>
      <rPr>
        <rFont val="Arial"/>
        <b/>
        <i/>
        <color theme="1"/>
        <sz val="12.0"/>
        <vertAlign val="subscript"/>
      </rPr>
      <t>3</t>
    </r>
  </si>
  <si>
    <t>c/goce sueldo</t>
  </si>
  <si>
    <r>
      <rPr>
        <rFont val="Arial"/>
        <color theme="1"/>
      </rPr>
      <t>AD</t>
    </r>
    <r>
      <rPr>
        <rFont val="Arial"/>
        <color theme="1"/>
        <sz val="12.0"/>
        <vertAlign val="subscript"/>
      </rPr>
      <t>3</t>
    </r>
    <r>
      <rPr>
        <rFont val="Arial"/>
        <color theme="1"/>
        <sz val="12.0"/>
      </rPr>
      <t>- Docencia en las carreras de pregrado y grado de la unidad académica en el Año</t>
    </r>
  </si>
  <si>
    <t>s/goce sueldo</t>
  </si>
  <si>
    <t>Tiempo</t>
  </si>
  <si>
    <t>factor de</t>
  </si>
  <si>
    <t>Puntaje</t>
  </si>
  <si>
    <t xml:space="preserve"> 1 - 5</t>
  </si>
  <si>
    <t>Básico</t>
  </si>
  <si>
    <t>Docente</t>
  </si>
  <si>
    <t>(j)</t>
  </si>
  <si>
    <t>(l)</t>
  </si>
  <si>
    <t>UBDjl</t>
  </si>
  <si>
    <t>k</t>
  </si>
  <si>
    <t>(meses)</t>
  </si>
  <si>
    <t>(años)</t>
  </si>
  <si>
    <t>corrección</t>
  </si>
  <si>
    <t>Dimensiones</t>
  </si>
  <si>
    <t>ADp</t>
  </si>
  <si>
    <t>&gt;5</t>
  </si>
  <si>
    <t>Parcial</t>
  </si>
  <si>
    <t>en k años</t>
  </si>
  <si>
    <t>Capatación y distinción</t>
  </si>
  <si>
    <t>T</t>
  </si>
  <si>
    <t>EX</t>
  </si>
  <si>
    <t>Créditos</t>
  </si>
  <si>
    <r>
      <rPr>
        <rFont val="Arial"/>
        <color theme="1"/>
        <sz val="12.0"/>
      </rPr>
      <t>dg</t>
    </r>
    <r>
      <rPr>
        <rFont val="Arial"/>
        <color theme="1"/>
        <sz val="12.0"/>
        <vertAlign val="subscript"/>
      </rPr>
      <t>ip</t>
    </r>
  </si>
  <si>
    <t>PP</t>
  </si>
  <si>
    <t>Salta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</si>
  <si>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12</t>
    </r>
  </si>
  <si>
    <t xml:space="preserve"> (años)</t>
  </si>
  <si>
    <t>Pasantías</t>
  </si>
  <si>
    <t>(lcg)</t>
  </si>
  <si>
    <t>Premio docente</t>
  </si>
  <si>
    <t>(lsg)</t>
  </si>
  <si>
    <t>Embajada</t>
  </si>
  <si>
    <r>
      <rPr>
        <rFont val="Arial"/>
        <b/>
        <i/>
        <color theme="1"/>
        <sz val="12.0"/>
      </rPr>
      <t>(t</t>
    </r>
    <r>
      <rPr>
        <rFont val="Arial"/>
        <b/>
        <i/>
        <color theme="1"/>
        <sz val="16.0"/>
        <vertAlign val="subscript"/>
      </rPr>
      <t>p</t>
    </r>
    <r>
      <rPr>
        <rFont val="Arial"/>
        <b/>
        <i/>
        <color theme="1"/>
        <sz val="12.0"/>
      </rPr>
      <t>)</t>
    </r>
  </si>
  <si>
    <r>
      <rPr>
        <rFont val="Arial"/>
        <b/>
        <i/>
        <color theme="1"/>
        <sz val="12.0"/>
      </rPr>
      <t>fc</t>
    </r>
    <r>
      <rPr>
        <rFont val="Arial"/>
        <b/>
        <i/>
        <color theme="1"/>
        <sz val="16.0"/>
        <vertAlign val="subscript"/>
      </rPr>
      <t>k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</si>
  <si>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1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</si>
  <si>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</si>
  <si>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3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</si>
  <si>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4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</si>
  <si>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22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</si>
  <si>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5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</si>
  <si>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6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</si>
  <si>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7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</si>
  <si>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8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</si>
  <si>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22</t>
    </r>
  </si>
  <si>
    <t>Total</t>
  </si>
  <si>
    <t>Medio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</si>
  <si>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13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</si>
  <si>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6.0"/>
        <vertAlign val="subscript"/>
      </rPr>
      <t>pjl</t>
    </r>
  </si>
  <si>
    <t>Prueba</t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</si>
  <si>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pjl</t>
    </r>
  </si>
  <si>
    <r>
      <rPr>
        <rFont val="Arial"/>
        <b/>
        <i/>
        <color theme="1"/>
        <sz val="12.0"/>
      </rPr>
      <t>IA</t>
    </r>
    <r>
      <rPr>
        <rFont val="Arial"/>
        <b/>
        <i/>
        <color theme="1"/>
        <sz val="16.0"/>
        <vertAlign val="subscript"/>
      </rPr>
      <t>1pjl</t>
    </r>
  </si>
  <si>
    <r>
      <rPr>
        <rFont val="Arial"/>
        <b/>
        <i/>
        <color theme="1"/>
        <sz val="12.0"/>
      </rPr>
      <t>IA</t>
    </r>
    <r>
      <rPr>
        <rFont val="Arial"/>
        <b/>
        <i/>
        <color theme="1"/>
        <sz val="16.0"/>
        <vertAlign val="subscript"/>
      </rPr>
      <t>1kjl</t>
    </r>
  </si>
  <si>
    <r>
      <rPr>
        <rFont val="Arial"/>
        <b/>
        <i/>
        <color theme="1"/>
        <sz val="12.0"/>
      </rPr>
      <t>Cuadro 2.4.2.3: Caracterización de AD</t>
    </r>
    <r>
      <rPr>
        <rFont val="Arial"/>
        <b/>
        <i/>
        <color theme="1"/>
        <sz val="12.0"/>
        <vertAlign val="subscript"/>
      </rPr>
      <t>2</t>
    </r>
  </si>
  <si>
    <t>AS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</si>
  <si>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</t>
    </r>
    <r>
      <rPr>
        <rFont val="Arial"/>
        <b/>
        <i/>
        <color theme="1"/>
        <sz val="12.0"/>
      </rPr>
      <t xml:space="preserve"> - Actualización y capacitación en docencia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</si>
  <si>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2</t>
    </r>
  </si>
  <si>
    <r>
      <rPr>
        <rFont val="Arial"/>
        <b/>
        <i/>
        <color theme="1"/>
        <sz val="12.0"/>
      </rPr>
      <t>Categoría AD</t>
    </r>
    <r>
      <rPr>
        <rFont val="Arial"/>
        <b/>
        <i/>
        <color theme="1"/>
        <sz val="12.0"/>
        <vertAlign val="subscript"/>
      </rPr>
      <t>2</t>
    </r>
  </si>
  <si>
    <t>AJ</t>
  </si>
  <si>
    <t>SE</t>
  </si>
  <si>
    <r>
      <rPr>
        <rFont val="Arial"/>
        <b/>
        <color theme="1"/>
        <sz val="12.0"/>
      </rPr>
      <t>PD</t>
    </r>
    <r>
      <rPr>
        <rFont val="Arial"/>
        <b/>
        <color theme="1"/>
        <sz val="12.0"/>
        <vertAlign val="subscript"/>
      </rPr>
      <t>32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</si>
  <si>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14</t>
    </r>
  </si>
  <si>
    <r>
      <rPr>
        <rFont val="Arial"/>
        <b/>
        <i/>
        <color theme="1"/>
        <sz val="12.0"/>
      </rPr>
      <t>acw</t>
    </r>
    <r>
      <rPr>
        <rFont val="Arial"/>
        <b/>
        <i/>
        <color theme="1"/>
        <sz val="12.0"/>
        <vertAlign val="subscript"/>
      </rPr>
      <t>i3</t>
    </r>
  </si>
  <si>
    <r>
      <rPr>
        <rFont val="Arial"/>
        <b/>
        <color theme="1"/>
        <sz val="12.0"/>
      </rPr>
      <t>AD</t>
    </r>
    <r>
      <rPr>
        <rFont val="Arial"/>
        <b/>
        <color theme="1"/>
        <sz val="12.0"/>
        <vertAlign val="subscript"/>
      </rPr>
      <t>32</t>
    </r>
  </si>
  <si>
    <r>
      <rPr>
        <rFont val="Arial"/>
        <b/>
        <i/>
        <color theme="1"/>
        <sz val="12.0"/>
      </rPr>
      <t>ac</t>
    </r>
    <r>
      <rPr>
        <rFont val="Arial"/>
        <b/>
        <i/>
        <color theme="1"/>
        <sz val="12.0"/>
        <vertAlign val="subscript"/>
      </rPr>
      <t>i3</t>
    </r>
  </si>
  <si>
    <t>Juju</t>
  </si>
  <si>
    <r>
      <rPr>
        <rFont val="Arial"/>
        <color theme="1"/>
      </rPr>
      <t>AD</t>
    </r>
    <r>
      <rPr>
        <rFont val="Arial"/>
        <color theme="1"/>
        <sz val="12.0"/>
        <vertAlign val="subscript"/>
      </rPr>
      <t>3</t>
    </r>
    <r>
      <rPr>
        <rFont val="Arial"/>
        <color theme="1"/>
        <sz val="12.0"/>
      </rPr>
      <t>- Docencia en las carreras de pregrado y grado de la unidad académica en el Año</t>
    </r>
  </si>
  <si>
    <r>
      <rPr>
        <rFont val="Arial"/>
        <b/>
        <i/>
        <color theme="1"/>
        <sz val="12.0"/>
      </rPr>
      <t>Cuadro 2.4.1.3: Valorización de AD</t>
    </r>
    <r>
      <rPr>
        <rFont val="Arial"/>
        <b/>
        <i/>
        <color theme="1"/>
        <sz val="12.0"/>
        <vertAlign val="subscript"/>
      </rPr>
      <t>1</t>
    </r>
    <r>
      <rPr>
        <rFont val="Arial"/>
        <b/>
        <i/>
        <color theme="1"/>
        <sz val="12.0"/>
      </rPr>
      <t xml:space="preserve"> según valor de PD</t>
    </r>
    <r>
      <rPr>
        <rFont val="Arial"/>
        <b/>
        <i/>
        <color theme="1"/>
        <sz val="12.0"/>
        <vertAlign val="subscript"/>
      </rPr>
      <t>1</t>
    </r>
  </si>
  <si>
    <r>
      <rPr>
        <rFont val="Arial"/>
        <color theme="1"/>
      </rPr>
      <t>fa</t>
    </r>
    <r>
      <rPr>
        <rFont val="Arial"/>
        <color theme="1"/>
        <sz val="12.0"/>
        <vertAlign val="subscript"/>
      </rPr>
      <t>i1</t>
    </r>
    <r>
      <rPr>
        <rFont val="Arial"/>
        <color theme="1"/>
        <sz val="12.0"/>
      </rPr>
      <t>: Formación Académica i en el primer año</t>
    </r>
  </si>
  <si>
    <r>
      <rPr>
        <rFont val="Arial"/>
        <b/>
        <i/>
        <color theme="1"/>
        <sz val="12.0"/>
      </rPr>
      <t>En relación al PD</t>
    </r>
    <r>
      <rPr>
        <rFont val="Arial"/>
        <b/>
        <i/>
        <color theme="1"/>
        <sz val="12.0"/>
        <vertAlign val="subscript"/>
      </rPr>
      <t>1</t>
    </r>
  </si>
  <si>
    <r>
      <rPr>
        <rFont val="Arial"/>
        <b/>
        <i/>
        <color theme="1"/>
        <sz val="12.0"/>
      </rPr>
      <t xml:space="preserve"> AD</t>
    </r>
    <r>
      <rPr>
        <rFont val="Arial"/>
        <b/>
        <i/>
        <color theme="1"/>
        <sz val="12.0"/>
        <vertAlign val="subscript"/>
      </rPr>
      <t>1</t>
    </r>
  </si>
  <si>
    <r>
      <rPr>
        <rFont val="Arial"/>
        <color theme="1"/>
      </rPr>
      <t>(f.a.w)</t>
    </r>
    <r>
      <rPr>
        <rFont val="Arial"/>
        <color theme="1"/>
        <sz val="12.0"/>
        <vertAlign val="subscript"/>
      </rPr>
      <t>i1</t>
    </r>
    <r>
      <rPr>
        <rFont val="Arial"/>
        <color theme="1"/>
        <sz val="12.0"/>
      </rPr>
      <t>: Puntaje en formación académica i  en el primer año</t>
    </r>
  </si>
  <si>
    <t>Menor al mínimo</t>
  </si>
  <si>
    <t>Alcanza el mínimo</t>
  </si>
  <si>
    <t>Ley Micaela</t>
  </si>
  <si>
    <t>Supera un valor límite</t>
  </si>
  <si>
    <t>UNCUYO</t>
  </si>
  <si>
    <r>
      <rPr>
        <rFont val="Arial"/>
        <color theme="1"/>
        <sz val="12.0"/>
      </rPr>
      <t>dg</t>
    </r>
    <r>
      <rPr>
        <rFont val="Arial"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</si>
  <si>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23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</si>
  <si>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23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</si>
  <si>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</t>
    </r>
    <r>
      <rPr>
        <rFont val="Arial"/>
        <b/>
        <i/>
        <color theme="1"/>
        <sz val="12.0"/>
      </rPr>
      <t xml:space="preserve"> - Actualización y capacitación en docencia</t>
    </r>
  </si>
  <si>
    <r>
      <rPr>
        <rFont val="Arial"/>
        <b/>
        <i/>
        <color theme="1"/>
        <sz val="12.0"/>
      </rPr>
      <t>acw</t>
    </r>
    <r>
      <rPr>
        <rFont val="Arial"/>
        <b/>
        <i/>
        <color theme="1"/>
        <sz val="12.0"/>
        <vertAlign val="subscript"/>
      </rPr>
      <t>i4</t>
    </r>
  </si>
  <si>
    <r>
      <rPr>
        <rFont val="Arial"/>
        <b/>
        <i/>
        <color theme="1"/>
        <sz val="12.0"/>
      </rPr>
      <t>ac</t>
    </r>
    <r>
      <rPr>
        <rFont val="Arial"/>
        <b/>
        <i/>
        <color theme="1"/>
        <sz val="12.0"/>
        <vertAlign val="subscript"/>
      </rPr>
      <t>i4</t>
    </r>
  </si>
  <si>
    <t>NN</t>
  </si>
  <si>
    <t>FCE</t>
  </si>
  <si>
    <r>
      <rPr>
        <rFont val="Arial"/>
        <b/>
        <color theme="1"/>
        <sz val="12.0"/>
      </rPr>
      <t>PD</t>
    </r>
    <r>
      <rPr>
        <rFont val="Arial"/>
        <b/>
        <color theme="1"/>
        <sz val="12.0"/>
        <vertAlign val="subscript"/>
      </rPr>
      <t>33</t>
    </r>
  </si>
  <si>
    <r>
      <rPr>
        <rFont val="Arial"/>
        <b/>
        <color theme="1"/>
        <sz val="12.0"/>
      </rPr>
      <t>AD</t>
    </r>
    <r>
      <rPr>
        <rFont val="Arial"/>
        <b/>
        <color theme="1"/>
        <sz val="12.0"/>
        <vertAlign val="subscript"/>
      </rPr>
      <t>33</t>
    </r>
  </si>
  <si>
    <r>
      <rPr>
        <rFont val="Arial"/>
        <color theme="1"/>
      </rPr>
      <t>AD</t>
    </r>
    <r>
      <rPr>
        <rFont val="Arial"/>
        <color theme="1"/>
        <sz val="12.0"/>
        <vertAlign val="subscript"/>
      </rPr>
      <t>3</t>
    </r>
    <r>
      <rPr>
        <rFont val="Arial"/>
        <color theme="1"/>
        <sz val="12.0"/>
      </rPr>
      <t>- Docencia en las carreras de pregrado y grado de la unidad académica en el Año</t>
    </r>
  </si>
  <si>
    <t>ll</t>
  </si>
  <si>
    <t>Instituto</t>
  </si>
  <si>
    <t>JTP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</si>
  <si>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24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</si>
  <si>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24</t>
    </r>
  </si>
  <si>
    <r>
      <rPr>
        <rFont val="Arial"/>
        <color theme="1"/>
        <sz val="12.0"/>
      </rPr>
      <t>dg</t>
    </r>
    <r>
      <rPr>
        <rFont val="Arial"/>
        <color theme="1"/>
        <sz val="12.0"/>
        <vertAlign val="subscript"/>
      </rPr>
      <t>ip</t>
    </r>
  </si>
  <si>
    <t>AY1</t>
  </si>
  <si>
    <r>
      <rPr>
        <rFont val="Arial"/>
        <b/>
        <color theme="1"/>
        <sz val="12.0"/>
      </rPr>
      <t>PD</t>
    </r>
    <r>
      <rPr>
        <rFont val="Arial"/>
        <b/>
        <color theme="1"/>
        <sz val="12.0"/>
        <vertAlign val="subscript"/>
      </rPr>
      <t>34</t>
    </r>
  </si>
  <si>
    <r>
      <rPr>
        <rFont val="Arial"/>
        <b/>
        <color theme="1"/>
        <sz val="12.0"/>
      </rPr>
      <t>AD</t>
    </r>
    <r>
      <rPr>
        <rFont val="Arial"/>
        <b/>
        <color theme="1"/>
        <sz val="12.0"/>
        <vertAlign val="subscript"/>
      </rPr>
      <t>44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</si>
  <si>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4</t>
    </r>
    <r>
      <rPr>
        <rFont val="Arial"/>
        <b/>
        <i/>
        <color theme="1"/>
        <sz val="12.0"/>
      </rPr>
      <t>: Docencia de Posgrado y Otros</t>
    </r>
  </si>
  <si>
    <t>Cuadro 2.4.4.1: Valoración según carrera</t>
  </si>
  <si>
    <r>
      <rPr>
        <rFont val="Arial"/>
        <b/>
        <i/>
        <color theme="1"/>
        <sz val="12.0"/>
      </rPr>
      <t>Cuadro 2.4.4.2: Caracterización de AD</t>
    </r>
    <r>
      <rPr>
        <rFont val="Arial"/>
        <b/>
        <i/>
        <color theme="1"/>
        <sz val="12.0"/>
        <vertAlign val="subscript"/>
      </rPr>
      <t>4</t>
    </r>
  </si>
  <si>
    <t>Asignatura</t>
  </si>
  <si>
    <t>Participación</t>
  </si>
  <si>
    <t>Valoración</t>
  </si>
  <si>
    <r>
      <rPr>
        <rFont val="Arial"/>
        <b/>
        <i/>
        <color theme="1"/>
        <sz val="12.0"/>
      </rPr>
      <t>dp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</si>
  <si>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4</t>
    </r>
  </si>
  <si>
    <r>
      <rPr>
        <rFont val="Arial"/>
        <b/>
        <i/>
        <color theme="1"/>
        <sz val="12.0"/>
      </rPr>
      <t>Categoría AD</t>
    </r>
    <r>
      <rPr>
        <rFont val="Arial"/>
        <b/>
        <i/>
        <color theme="1"/>
        <sz val="12.0"/>
        <vertAlign val="subscript"/>
      </rPr>
      <t>4</t>
    </r>
  </si>
  <si>
    <t>p</t>
  </si>
  <si>
    <t>(%)</t>
  </si>
  <si>
    <t xml:space="preserve"> 1 - 2</t>
  </si>
  <si>
    <t>Estadística I</t>
  </si>
  <si>
    <t>DS</t>
  </si>
  <si>
    <t>AY2</t>
  </si>
  <si>
    <t>&gt;2</t>
  </si>
  <si>
    <t>Estadística</t>
  </si>
  <si>
    <t>Diplomatura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</si>
  <si>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41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</si>
  <si>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5</t>
    </r>
    <r>
      <rPr>
        <rFont val="Arial"/>
        <b/>
        <i/>
        <color theme="1"/>
        <sz val="12.0"/>
      </rPr>
      <t>: Participación en reuniones científicas con referencia a la docencia</t>
    </r>
  </si>
  <si>
    <t>Cuadro 2.4.5.1: Valoración  según el tipo de participación</t>
  </si>
  <si>
    <t>Cuadro 2.4.5.2:Valoración según tipo de presentación</t>
  </si>
  <si>
    <t>Evento</t>
  </si>
  <si>
    <t>Presentación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</si>
  <si>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41</t>
    </r>
  </si>
  <si>
    <r>
      <rPr>
        <rFont val="Arial"/>
        <b/>
        <i/>
        <color theme="1"/>
        <sz val="12.0"/>
      </rPr>
      <t>de</t>
    </r>
    <r>
      <rPr>
        <rFont val="Arial"/>
        <b/>
        <i/>
        <color theme="1"/>
        <sz val="12.0"/>
        <vertAlign val="subscript"/>
      </rPr>
      <t>i1</t>
    </r>
  </si>
  <si>
    <t>Tipo de Participación</t>
  </si>
  <si>
    <t>Vpa</t>
  </si>
  <si>
    <t>Tipo</t>
  </si>
  <si>
    <t>Referato</t>
  </si>
  <si>
    <t>Vpr</t>
  </si>
  <si>
    <r>
      <rPr>
        <rFont val="Arial"/>
        <b/>
        <i/>
        <color theme="1"/>
        <sz val="12.0"/>
      </rPr>
      <t>Vpa</t>
    </r>
    <r>
      <rPr>
        <rFont val="Arial"/>
        <b/>
        <i/>
        <color theme="1"/>
        <sz val="12.0"/>
        <vertAlign val="subscript"/>
      </rPr>
      <t>i</t>
    </r>
  </si>
  <si>
    <t>Título</t>
  </si>
  <si>
    <t>´Referato</t>
  </si>
  <si>
    <r>
      <rPr>
        <rFont val="Arial"/>
        <b/>
        <i/>
        <color theme="1"/>
        <sz val="12.0"/>
      </rPr>
      <t>Vpr</t>
    </r>
    <r>
      <rPr>
        <rFont val="Arial"/>
        <b/>
        <i/>
        <color theme="1"/>
        <sz val="12.0"/>
        <vertAlign val="subscript"/>
      </rPr>
      <t>i</t>
    </r>
  </si>
  <si>
    <t>Asistente</t>
  </si>
  <si>
    <r>
      <rPr>
        <rFont val="Arial"/>
        <b/>
        <i/>
        <color theme="1"/>
        <sz val="12.0"/>
      </rPr>
      <t>dp</t>
    </r>
    <r>
      <rPr>
        <rFont val="Arial"/>
        <b/>
        <i/>
        <color theme="1"/>
        <sz val="12.0"/>
        <vertAlign val="subscript"/>
      </rPr>
      <t>ip</t>
    </r>
  </si>
  <si>
    <t>Resumen</t>
  </si>
  <si>
    <t>Coloquio</t>
  </si>
  <si>
    <t>Nutrición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</si>
  <si>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6</t>
    </r>
    <r>
      <rPr>
        <rFont val="Arial"/>
        <b/>
        <i/>
        <color theme="1"/>
        <sz val="12.0"/>
      </rPr>
      <t>: Proyectos en docencia acreditados</t>
    </r>
  </si>
  <si>
    <t>Cuadro 2.4.6.1: Ponderación según participación en el proyecto</t>
  </si>
  <si>
    <r>
      <rPr>
        <rFont val="Arial"/>
        <b/>
        <i/>
        <color theme="1"/>
        <sz val="12.0"/>
      </rPr>
      <t>Cuadro 2.4.6.2: Caracterización de AD</t>
    </r>
    <r>
      <rPr>
        <rFont val="Arial"/>
        <b/>
        <i/>
        <color theme="1"/>
        <sz val="12.0"/>
        <vertAlign val="subscript"/>
      </rPr>
      <t>6</t>
    </r>
  </si>
  <si>
    <t>El Pronóstico</t>
  </si>
  <si>
    <t>pp</t>
  </si>
  <si>
    <t>Proyecto</t>
  </si>
  <si>
    <t>Normativa</t>
  </si>
  <si>
    <t>Tipo de participación</t>
  </si>
  <si>
    <r>
      <rPr>
        <rFont val="Arial"/>
        <b/>
        <i/>
        <color theme="1"/>
        <sz val="12.0"/>
      </rPr>
      <t>dpy</t>
    </r>
    <r>
      <rPr>
        <rFont val="Arial"/>
        <b/>
        <i/>
        <color theme="1"/>
        <sz val="12.0"/>
        <vertAlign val="subscript"/>
      </rPr>
      <t>ip</t>
    </r>
  </si>
  <si>
    <t>dpy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</si>
  <si>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6</t>
    </r>
  </si>
  <si>
    <r>
      <rPr>
        <rFont val="Arial"/>
        <b/>
        <i/>
        <color theme="1"/>
        <sz val="12.0"/>
      </rPr>
      <t>Categoría AD</t>
    </r>
    <r>
      <rPr>
        <rFont val="Arial"/>
        <b/>
        <i/>
        <color theme="1"/>
        <sz val="12.0"/>
        <vertAlign val="subscript"/>
      </rPr>
      <t>6</t>
    </r>
  </si>
  <si>
    <t>Chinche</t>
  </si>
  <si>
    <t>N°560/236-D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</si>
  <si>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42</t>
    </r>
  </si>
  <si>
    <t>Director</t>
  </si>
  <si>
    <t>Expositor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</si>
  <si>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42</t>
    </r>
  </si>
  <si>
    <t>Trabajo Extendido</t>
  </si>
  <si>
    <t>Organización</t>
  </si>
  <si>
    <t>Pi</t>
  </si>
  <si>
    <t>Codirector</t>
  </si>
  <si>
    <r>
      <rPr>
        <rFont val="Arial"/>
        <b/>
        <i/>
        <color theme="1"/>
        <sz val="12.0"/>
      </rPr>
      <t>dp</t>
    </r>
    <r>
      <rPr>
        <rFont val="Arial"/>
        <b/>
        <i/>
        <color theme="1"/>
        <sz val="12.0"/>
        <vertAlign val="subscript"/>
      </rPr>
      <t>ip</t>
    </r>
  </si>
  <si>
    <t xml:space="preserve"> 1 - 8</t>
  </si>
  <si>
    <t>FGDGG</t>
  </si>
  <si>
    <t>Pipi</t>
  </si>
  <si>
    <t>Participante</t>
  </si>
  <si>
    <t>Trabajo Completo</t>
  </si>
  <si>
    <t>&gt;8</t>
  </si>
  <si>
    <t>Titi</t>
  </si>
  <si>
    <t>Evaluador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</si>
  <si>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61</t>
    </r>
  </si>
  <si>
    <t>SSE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</si>
  <si>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61</t>
    </r>
  </si>
  <si>
    <t>pppp</t>
  </si>
  <si>
    <r>
      <rPr>
        <rFont val="Arial"/>
        <b/>
        <i/>
        <color theme="1"/>
        <sz val="12.0"/>
      </rPr>
      <t>dpy</t>
    </r>
    <r>
      <rPr>
        <rFont val="Arial"/>
        <b/>
        <i/>
        <color theme="1"/>
        <sz val="12.0"/>
        <vertAlign val="subscript"/>
      </rPr>
      <t>ip</t>
    </r>
  </si>
  <si>
    <t>N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</si>
  <si>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43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</si>
  <si>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43</t>
    </r>
  </si>
  <si>
    <t>S</t>
  </si>
  <si>
    <r>
      <rPr>
        <rFont val="Arial"/>
        <b/>
        <i/>
        <color theme="1"/>
        <sz val="12.0"/>
      </rPr>
      <t>dp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</si>
  <si>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62</t>
    </r>
  </si>
  <si>
    <t>Referato: 0 es No y 1 es Sí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</si>
  <si>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62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</si>
  <si>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51</t>
    </r>
  </si>
  <si>
    <r>
      <rPr>
        <rFont val="Arial"/>
        <b/>
        <i/>
        <color theme="1"/>
        <sz val="12.0"/>
      </rPr>
      <t>dpy</t>
    </r>
    <r>
      <rPr>
        <rFont val="Arial"/>
        <b/>
        <i/>
        <color theme="1"/>
        <sz val="12.0"/>
        <vertAlign val="subscript"/>
      </rPr>
      <t>ip</t>
    </r>
  </si>
  <si>
    <t>Q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</si>
  <si>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51</t>
    </r>
  </si>
  <si>
    <r>
      <rPr>
        <rFont val="Arial"/>
        <b/>
        <i/>
        <color theme="1"/>
        <sz val="12.0"/>
      </rPr>
      <t>Cuadro 2.4.5.3: Caracterización de AD</t>
    </r>
    <r>
      <rPr>
        <rFont val="Arial"/>
        <b/>
        <i/>
        <color theme="1"/>
        <sz val="12.0"/>
        <vertAlign val="subscript"/>
      </rPr>
      <t>5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</si>
  <si>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44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</si>
  <si>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44</t>
    </r>
  </si>
  <si>
    <r>
      <rPr>
        <rFont val="Arial"/>
        <b/>
        <i/>
        <color theme="1"/>
        <sz val="12.0"/>
      </rPr>
      <t>de</t>
    </r>
    <r>
      <rPr>
        <rFont val="Arial"/>
        <b/>
        <i/>
        <color theme="1"/>
        <sz val="12.0"/>
        <vertAlign val="subscript"/>
      </rPr>
      <t>i2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</si>
  <si>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5</t>
    </r>
  </si>
  <si>
    <r>
      <rPr>
        <rFont val="Arial"/>
        <b/>
        <i/>
        <color theme="1"/>
        <sz val="12.0"/>
      </rPr>
      <t>Categoría AD</t>
    </r>
    <r>
      <rPr>
        <rFont val="Arial"/>
        <b/>
        <i/>
        <color theme="1"/>
        <sz val="12.0"/>
        <vertAlign val="subscript"/>
      </rPr>
      <t>5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</si>
  <si>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63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</si>
  <si>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63</t>
    </r>
  </si>
  <si>
    <r>
      <rPr>
        <rFont val="Arial"/>
        <b/>
        <i/>
        <color theme="1"/>
        <sz val="12.0"/>
      </rPr>
      <t>Vpa</t>
    </r>
    <r>
      <rPr>
        <rFont val="Arial"/>
        <b/>
        <i/>
        <color theme="1"/>
        <sz val="12.0"/>
        <vertAlign val="subscript"/>
      </rPr>
      <t>i</t>
    </r>
  </si>
  <si>
    <t>Valor</t>
  </si>
  <si>
    <r>
      <rPr>
        <rFont val="Arial"/>
        <b/>
        <i/>
        <color theme="1"/>
        <sz val="12.0"/>
      </rPr>
      <t>dpy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</si>
  <si>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64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</si>
  <si>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64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</si>
  <si>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7</t>
    </r>
    <r>
      <rPr>
        <rFont val="Arial"/>
        <b/>
        <i/>
        <color theme="1"/>
        <sz val="12.0"/>
      </rPr>
      <t>: Formación de recursos humanos</t>
    </r>
  </si>
  <si>
    <t>Cuadro 2.4.7.1: Valoración según participación en el proyecto</t>
  </si>
  <si>
    <r>
      <rPr>
        <rFont val="Arial"/>
        <b/>
        <i/>
        <color theme="1"/>
        <sz val="12.0"/>
      </rPr>
      <t>Cuadro 2.4.7.2: Caracterización de AD</t>
    </r>
    <r>
      <rPr>
        <rFont val="Arial"/>
        <b/>
        <i/>
        <color theme="1"/>
        <sz val="12.0"/>
        <vertAlign val="subscript"/>
      </rPr>
      <t>7</t>
    </r>
  </si>
  <si>
    <t>Apellido y Nombre</t>
  </si>
  <si>
    <r>
      <rPr>
        <rFont val="Arial"/>
        <b/>
        <i/>
        <color theme="1"/>
        <sz val="12.0"/>
      </rPr>
      <t>df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</si>
  <si>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8</t>
    </r>
    <r>
      <rPr>
        <rFont val="Arial"/>
        <b/>
        <i/>
        <color theme="1"/>
        <sz val="12.0"/>
      </rPr>
      <t>: Producción de materiales pedagógicos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</si>
  <si>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7</t>
    </r>
  </si>
  <si>
    <r>
      <rPr>
        <rFont val="Arial"/>
        <b/>
        <i/>
        <color theme="1"/>
        <sz val="12.0"/>
      </rPr>
      <t>Categoría AD</t>
    </r>
    <r>
      <rPr>
        <rFont val="Arial"/>
        <b/>
        <i/>
        <color theme="1"/>
        <sz val="12.0"/>
        <vertAlign val="subscript"/>
      </rPr>
      <t>7</t>
    </r>
  </si>
  <si>
    <t>Cuadro 2.4.8.1: Valoración según material pedagógico</t>
  </si>
  <si>
    <t>José</t>
  </si>
  <si>
    <t>Espacio curricular</t>
  </si>
  <si>
    <t>Material</t>
  </si>
  <si>
    <t>Valor Material</t>
  </si>
  <si>
    <t>Tarea</t>
  </si>
  <si>
    <t>Valor Tarea</t>
  </si>
  <si>
    <r>
      <rPr>
        <rFont val="Arial"/>
        <b/>
        <i/>
        <color theme="1"/>
        <sz val="12.0"/>
      </rPr>
      <t>dmp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</si>
  <si>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Cuadro 2.4.8.3: Caracterización de AD</t>
    </r>
    <r>
      <rPr>
        <rFont val="Arial"/>
        <b/>
        <i/>
        <color theme="1"/>
        <sz val="12.0"/>
        <vertAlign val="subscript"/>
      </rPr>
      <t>8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</si>
  <si>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52</t>
    </r>
  </si>
  <si>
    <t>Apuntes de Clase</t>
  </si>
  <si>
    <t>Adscripto</t>
  </si>
  <si>
    <t>Tony</t>
  </si>
  <si>
    <t xml:space="preserve"> 1 -15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</si>
  <si>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52</t>
    </r>
  </si>
  <si>
    <t>Actualización</t>
  </si>
  <si>
    <t>Pasante</t>
  </si>
  <si>
    <t>Mónica</t>
  </si>
  <si>
    <t>&gt;15</t>
  </si>
  <si>
    <t>Concurrencia</t>
  </si>
  <si>
    <t>Josefa</t>
  </si>
  <si>
    <t>Apuntes de clase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</si>
  <si>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8</t>
    </r>
  </si>
  <si>
    <r>
      <rPr>
        <rFont val="Arial"/>
        <b/>
        <i/>
        <color theme="1"/>
        <sz val="12.0"/>
      </rPr>
      <t>Categoría AD</t>
    </r>
    <r>
      <rPr>
        <rFont val="Arial"/>
        <b/>
        <i/>
        <color theme="1"/>
        <sz val="12.0"/>
        <vertAlign val="subscript"/>
      </rPr>
      <t>8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</si>
  <si>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71</t>
    </r>
  </si>
  <si>
    <t>Trabajo Práctico</t>
  </si>
  <si>
    <r>
      <rPr>
        <rFont val="Arial"/>
        <b/>
        <i/>
        <color theme="1"/>
        <sz val="12.0"/>
      </rPr>
      <t>de</t>
    </r>
    <r>
      <rPr>
        <rFont val="Arial"/>
        <b/>
        <i/>
        <color theme="1"/>
        <sz val="12.0"/>
        <vertAlign val="subscript"/>
      </rPr>
      <t>i3</t>
    </r>
  </si>
  <si>
    <t>Desarrollo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</si>
  <si>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71</t>
    </r>
  </si>
  <si>
    <t>0-19</t>
  </si>
  <si>
    <r>
      <rPr>
        <rFont val="Arial"/>
        <b/>
        <i/>
        <color theme="1"/>
        <sz val="12.0"/>
      </rPr>
      <t>Vpa</t>
    </r>
    <r>
      <rPr>
        <rFont val="Arial"/>
        <b/>
        <i/>
        <color theme="1"/>
        <sz val="12.0"/>
        <vertAlign val="subscript"/>
      </rPr>
      <t>i</t>
    </r>
  </si>
  <si>
    <t>Estadistica Aplicada</t>
  </si>
  <si>
    <t>Entorno Virtual</t>
  </si>
  <si>
    <r>
      <rPr>
        <rFont val="Arial"/>
        <b/>
        <i/>
        <color theme="1"/>
        <sz val="12.0"/>
      </rPr>
      <t>df</t>
    </r>
    <r>
      <rPr>
        <rFont val="Arial"/>
        <b/>
        <i/>
        <color theme="1"/>
        <sz val="12.0"/>
        <vertAlign val="subscript"/>
      </rPr>
      <t>ip</t>
    </r>
  </si>
  <si>
    <t>&gt;20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</si>
  <si>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81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</si>
  <si>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81</t>
    </r>
  </si>
  <si>
    <t xml:space="preserve">Cuadro 2.4.8.2: Valoración según tarea </t>
  </si>
  <si>
    <t>AD8: Producción de materiales pedagógicos</t>
  </si>
  <si>
    <r>
      <rPr>
        <rFont val="Arial"/>
        <b/>
        <i/>
        <color theme="1"/>
        <sz val="12.0"/>
      </rPr>
      <t>dmp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</si>
  <si>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72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</si>
  <si>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72</t>
    </r>
  </si>
  <si>
    <r>
      <rPr>
        <rFont val="Arial"/>
        <b/>
        <i/>
        <color theme="1"/>
        <sz val="12.0"/>
      </rPr>
      <t>df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</si>
  <si>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82</t>
    </r>
  </si>
  <si>
    <t>Tabla 3:</t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</si>
  <si>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82</t>
    </r>
  </si>
  <si>
    <t>Puntajes totales obtenidos en cada año,  para las diferentes dimensiones de la actividad docente declarada</t>
  </si>
  <si>
    <t>Cuadro 2.2:</t>
  </si>
  <si>
    <t>Umbrales Básicos (UB) para las dimensiones en docencia según categoría y  dedicación</t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</si>
  <si>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73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</si>
  <si>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1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</si>
  <si>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73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</si>
  <si>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2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</si>
  <si>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3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</si>
  <si>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4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</si>
  <si>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5</t>
    </r>
  </si>
  <si>
    <r>
      <rPr>
        <rFont val="Arial"/>
        <b/>
        <i/>
        <color theme="1"/>
        <sz val="12.0"/>
      </rPr>
      <t>dmp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</si>
  <si>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53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</si>
  <si>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6</t>
    </r>
  </si>
  <si>
    <r>
      <rPr>
        <rFont val="Arial"/>
        <b/>
        <i/>
        <color theme="1"/>
        <sz val="12.0"/>
      </rPr>
      <t>df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</si>
  <si>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7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</si>
  <si>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8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</si>
  <si>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53</t>
    </r>
  </si>
  <si>
    <t>Categoría (j)</t>
  </si>
  <si>
    <t>Dedicación (l)</t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</si>
  <si>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1</t>
    </r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</si>
  <si>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2</t>
    </r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</si>
  <si>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3</t>
    </r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</si>
  <si>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4</t>
    </r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</si>
  <si>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5</t>
    </r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</si>
  <si>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6</t>
    </r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</si>
  <si>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7</t>
    </r>
  </si>
  <si>
    <r>
      <rPr>
        <rFont val="Arial"/>
        <b/>
        <i/>
        <color theme="1"/>
        <sz val="12.0"/>
      </rPr>
      <t>de</t>
    </r>
    <r>
      <rPr>
        <rFont val="Arial"/>
        <b/>
        <i/>
        <color theme="1"/>
        <sz val="12.0"/>
        <vertAlign val="subscript"/>
      </rPr>
      <t>i4</t>
    </r>
  </si>
  <si>
    <r>
      <rPr>
        <rFont val="Arial"/>
        <b/>
        <i/>
        <color theme="1"/>
        <sz val="12.0"/>
      </rPr>
      <t>UBD</t>
    </r>
    <r>
      <rPr>
        <rFont val="Arial"/>
        <b/>
        <i/>
        <color theme="1"/>
        <sz val="12.0"/>
        <vertAlign val="subscript"/>
      </rPr>
      <t>8</t>
    </r>
  </si>
  <si>
    <r>
      <rPr>
        <rFont val="Arial"/>
        <b/>
        <i/>
        <color theme="1"/>
        <sz val="12.0"/>
      </rPr>
      <t>Vpa</t>
    </r>
    <r>
      <rPr>
        <rFont val="Arial"/>
        <b/>
        <i/>
        <color theme="1"/>
        <sz val="12.0"/>
        <vertAlign val="subscript"/>
      </rPr>
      <t>i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</si>
  <si>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74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</si>
  <si>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74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</si>
  <si>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83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</si>
  <si>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83</t>
    </r>
  </si>
  <si>
    <r>
      <rPr>
        <rFont val="Arial"/>
        <b/>
        <i/>
        <color theme="1"/>
        <sz val="12.0"/>
      </rPr>
      <t>dmp</t>
    </r>
    <r>
      <rPr>
        <rFont val="Arial"/>
        <b/>
        <i/>
        <color theme="1"/>
        <sz val="12.0"/>
        <vertAlign val="subscript"/>
      </rPr>
      <t>ip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</si>
  <si>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54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</si>
  <si>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84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</si>
  <si>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54</t>
    </r>
  </si>
  <si>
    <r>
      <rPr>
        <rFont val="Arial"/>
        <b/>
        <i/>
        <color theme="1"/>
        <sz val="12.0"/>
      </rPr>
      <t>AD</t>
    </r>
    <r>
      <rPr>
        <rFont val="Arial"/>
        <b/>
        <i/>
        <color theme="1"/>
        <sz val="12.0"/>
        <vertAlign val="subscript"/>
      </rPr>
      <t>84</t>
    </r>
  </si>
  <si>
    <r>
      <rPr>
        <rFont val="Arial"/>
        <b/>
        <i/>
        <color theme="1"/>
        <sz val="12.0"/>
      </rPr>
      <t>PD</t>
    </r>
    <r>
      <rPr>
        <rFont val="Arial"/>
        <b/>
        <i/>
        <color theme="1"/>
        <sz val="12.0"/>
        <vertAlign val="subscript"/>
      </rPr>
      <t>D</t>
    </r>
  </si>
  <si>
    <t>Identificación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</si>
  <si>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1</t>
    </r>
  </si>
  <si>
    <t>Formación Académica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</si>
  <si>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2</t>
    </r>
  </si>
  <si>
    <t xml:space="preserve">Actividad y Capacitación 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</si>
  <si>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3</t>
    </r>
  </si>
  <si>
    <t>Docencia en pregrado y grado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</si>
  <si>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4</t>
    </r>
  </si>
  <si>
    <t>Docencia en posgrado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</si>
  <si>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5</t>
    </r>
  </si>
  <si>
    <t>Participación en reuniones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</si>
  <si>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6</t>
    </r>
  </si>
  <si>
    <t>Proyectos en docencia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</si>
  <si>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7</t>
    </r>
  </si>
  <si>
    <t>Formación en recursos</t>
  </si>
  <si>
    <r>
      <rPr>
        <rFont val="Arial"/>
        <color theme="1"/>
        <sz val="12.0"/>
      </rPr>
      <t>PD</t>
    </r>
    <r>
      <rPr>
        <rFont val="Arial"/>
        <color theme="1"/>
        <sz val="12.0"/>
        <vertAlign val="subscript"/>
      </rPr>
      <t>8</t>
    </r>
  </si>
  <si>
    <t>Producción en material pedagógico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</si>
</sst>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0.0000"/>
  </numFmts>
  <fonts count="13">
    <font>
      <sz val="12.0"/>
      <color theme="1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</font>
    <font/>
    <font>
      <b/>
      <i/>
      <sz val="12.0"/>
      <color rgb="FF000000"/>
      <name val="Arial"/>
    </font>
    <font>
      <sz val="12.0"/>
      <color rgb="FF000000"/>
      <name val="Arial"/>
    </font>
    <font>
      <b/>
      <i/>
      <sz val="11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b/>
      <i/>
      <sz val="10.0"/>
      <color theme="1"/>
      <name val="Arial"/>
    </font>
    <font>
      <b/>
      <sz val="12.0"/>
      <color theme="1"/>
      <name val="Arial"/>
    </font>
    <font>
      <i/>
      <sz val="10.0"/>
      <color theme="1"/>
      <name val="Arial"/>
    </font>
    <font>
      <b/>
      <i/>
      <vertAlign val="subscript"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1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8" fillId="2" fontId="2" numFmtId="0" xfId="0" applyAlignment="1" applyBorder="1" applyFont="1">
      <alignment horizontal="center"/>
    </xf>
    <xf borderId="9" fillId="0" fontId="3" numFmtId="0" xfId="0" applyBorder="1" applyFont="1"/>
    <xf borderId="10" fillId="0" fontId="2" numFmtId="0" xfId="0" applyAlignment="1" applyBorder="1" applyFont="1">
      <alignment horizontal="center"/>
    </xf>
    <xf borderId="11" fillId="0" fontId="3" numFmtId="0" xfId="0" applyBorder="1" applyFont="1"/>
    <xf borderId="0" fillId="0" fontId="2" numFmtId="0" xfId="0" applyAlignment="1" applyFont="1">
      <alignment horizontal="center"/>
    </xf>
    <xf borderId="12" fillId="2" fontId="4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3" fillId="2" fontId="2" numFmtId="0" xfId="0" applyAlignment="1" applyBorder="1" applyFont="1">
      <alignment horizontal="center"/>
    </xf>
    <xf borderId="13" fillId="2" fontId="2" numFmtId="0" xfId="0" applyBorder="1" applyFont="1"/>
    <xf borderId="14" fillId="0" fontId="3" numFmtId="0" xfId="0" applyBorder="1" applyFont="1"/>
    <xf borderId="15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6" fillId="2" fontId="2" numFmtId="0" xfId="0" applyAlignment="1" applyBorder="1" applyFont="1">
      <alignment horizontal="center"/>
    </xf>
    <xf borderId="12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5" fillId="2" fontId="2" numFmtId="0" xfId="0" applyBorder="1" applyFont="1"/>
    <xf borderId="2" fillId="2" fontId="6" numFmtId="0" xfId="0" applyAlignment="1" applyBorder="1" applyFont="1">
      <alignment horizontal="center"/>
    </xf>
    <xf borderId="15" fillId="2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left"/>
    </xf>
    <xf borderId="18" fillId="0" fontId="7" numFmtId="0" xfId="0" applyAlignment="1" applyBorder="1" applyFont="1">
      <alignment horizontal="center"/>
    </xf>
    <xf borderId="17" fillId="0" fontId="7" numFmtId="164" xfId="0" applyAlignment="1" applyBorder="1" applyFont="1" applyNumberFormat="1">
      <alignment horizontal="center"/>
    </xf>
    <xf borderId="19" fillId="0" fontId="3" numFmtId="0" xfId="0" applyBorder="1" applyFont="1"/>
    <xf borderId="20" fillId="0" fontId="7" numFmtId="0" xfId="0" applyAlignment="1" applyBorder="1" applyFont="1">
      <alignment horizontal="center"/>
    </xf>
    <xf borderId="10" fillId="0" fontId="7" numFmtId="165" xfId="0" applyAlignment="1" applyBorder="1" applyFont="1" applyNumberFormat="1">
      <alignment horizontal="center"/>
    </xf>
    <xf borderId="17" fillId="0" fontId="7" numFmtId="165" xfId="0" applyAlignment="1" applyBorder="1" applyFont="1" applyNumberFormat="1">
      <alignment horizontal="center"/>
    </xf>
    <xf borderId="12" fillId="0" fontId="7" numFmtId="2" xfId="0" applyAlignment="1" applyBorder="1" applyFont="1" applyNumberFormat="1">
      <alignment horizontal="center"/>
    </xf>
    <xf borderId="17" fillId="0" fontId="8" numFmtId="0" xfId="0" applyAlignment="1" applyBorder="1" applyFont="1">
      <alignment horizontal="center"/>
    </xf>
    <xf borderId="0" fillId="0" fontId="7" numFmtId="2" xfId="0" applyAlignment="1" applyFont="1" applyNumberFormat="1">
      <alignment horizontal="center"/>
    </xf>
    <xf borderId="17" fillId="0" fontId="5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/>
    </xf>
    <xf borderId="13" fillId="2" fontId="7" numFmtId="0" xfId="0" applyBorder="1" applyFont="1"/>
    <xf borderId="12" fillId="0" fontId="7" numFmtId="0" xfId="0" applyBorder="1" applyFont="1"/>
    <xf borderId="10" fillId="0" fontId="7" numFmtId="0" xfId="0" applyAlignment="1" applyBorder="1" applyFont="1">
      <alignment horizontal="center" readingOrder="0"/>
    </xf>
    <xf borderId="20" fillId="0" fontId="7" numFmtId="165" xfId="0" applyAlignment="1" applyBorder="1" applyFont="1" applyNumberFormat="1">
      <alignment horizontal="center"/>
    </xf>
    <xf borderId="17" fillId="0" fontId="5" numFmtId="0" xfId="0" applyAlignment="1" applyBorder="1" applyFont="1">
      <alignment vertical="center"/>
    </xf>
    <xf borderId="20" fillId="0" fontId="8" numFmtId="0" xfId="0" applyAlignment="1" applyBorder="1" applyFont="1">
      <alignment horizontal="center"/>
    </xf>
    <xf borderId="20" fillId="0" fontId="5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center"/>
    </xf>
    <xf borderId="20" fillId="0" fontId="7" numFmtId="164" xfId="0" applyAlignment="1" applyBorder="1" applyFont="1" applyNumberFormat="1">
      <alignment horizontal="center"/>
    </xf>
    <xf borderId="20" fillId="0" fontId="5" numFmtId="0" xfId="0" applyAlignment="1" applyBorder="1" applyFont="1">
      <alignment vertical="center"/>
    </xf>
    <xf borderId="10" fillId="0" fontId="7" numFmtId="0" xfId="0" applyAlignment="1" applyBorder="1" applyFont="1">
      <alignment horizontal="right"/>
    </xf>
    <xf borderId="0" fillId="0" fontId="7" numFmtId="166" xfId="0" applyAlignment="1" applyFont="1" applyNumberFormat="1">
      <alignment horizontal="center"/>
    </xf>
    <xf borderId="23" fillId="0" fontId="7" numFmtId="0" xfId="0" applyAlignment="1" applyBorder="1" applyFont="1">
      <alignment horizontal="center"/>
    </xf>
    <xf borderId="23" fillId="0" fontId="5" numFmtId="0" xfId="0" applyAlignment="1" applyBorder="1" applyFont="1">
      <alignment vertical="center"/>
    </xf>
    <xf borderId="24" fillId="2" fontId="2" numFmtId="0" xfId="0" applyAlignment="1" applyBorder="1" applyFont="1">
      <alignment horizontal="center"/>
    </xf>
    <xf borderId="23" fillId="0" fontId="7" numFmtId="164" xfId="0" applyAlignment="1" applyBorder="1" applyFont="1" applyNumberFormat="1">
      <alignment horizontal="center"/>
    </xf>
    <xf borderId="23" fillId="0" fontId="7" numFmtId="165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0" fillId="0" fontId="9" numFmtId="0" xfId="0" applyFont="1"/>
    <xf borderId="0" fillId="0" fontId="5" numFmtId="0" xfId="0" applyAlignment="1" applyFont="1">
      <alignment vertical="center"/>
    </xf>
    <xf borderId="12" fillId="0" fontId="7" numFmtId="165" xfId="0" applyAlignment="1" applyBorder="1" applyFont="1" applyNumberFormat="1">
      <alignment horizontal="center"/>
    </xf>
    <xf borderId="23" fillId="0" fontId="5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/>
    </xf>
    <xf borderId="26" fillId="0" fontId="7" numFmtId="0" xfId="0" applyAlignment="1" applyBorder="1" applyFont="1">
      <alignment horizontal="center"/>
    </xf>
    <xf borderId="27" fillId="0" fontId="3" numFmtId="0" xfId="0" applyBorder="1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23" fillId="0" fontId="8" numFmtId="0" xfId="0" applyAlignment="1" applyBorder="1" applyFont="1">
      <alignment horizontal="center"/>
    </xf>
    <xf borderId="21" fillId="0" fontId="7" numFmtId="0" xfId="0" applyBorder="1" applyFont="1"/>
    <xf borderId="12" fillId="2" fontId="10" numFmtId="0" xfId="0" applyAlignment="1" applyBorder="1" applyFont="1">
      <alignment horizontal="center"/>
    </xf>
    <xf borderId="0" fillId="0" fontId="2" numFmtId="0" xfId="0" applyFont="1"/>
    <xf borderId="17" fillId="0" fontId="7" numFmtId="0" xfId="0" applyBorder="1" applyFont="1"/>
    <xf borderId="28" fillId="2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7" fillId="2" fontId="2" numFmtId="0" xfId="0" applyBorder="1" applyFont="1"/>
    <xf borderId="29" fillId="2" fontId="2" numFmtId="0" xfId="0" applyAlignment="1" applyBorder="1" applyFont="1">
      <alignment horizontal="center"/>
    </xf>
    <xf borderId="30" fillId="2" fontId="2" numFmtId="0" xfId="0" applyAlignment="1" applyBorder="1" applyFont="1">
      <alignment horizontal="center"/>
    </xf>
    <xf borderId="31" fillId="2" fontId="2" numFmtId="0" xfId="0" applyAlignment="1" applyBorder="1" applyFont="1">
      <alignment horizontal="center"/>
    </xf>
    <xf borderId="12" fillId="0" fontId="7" numFmtId="16" xfId="0" applyAlignment="1" applyBorder="1" applyFont="1" applyNumberFormat="1">
      <alignment horizontal="center"/>
    </xf>
    <xf borderId="12" fillId="2" fontId="6" numFmtId="0" xfId="0" applyAlignment="1" applyBorder="1" applyFont="1">
      <alignment horizontal="center"/>
    </xf>
    <xf borderId="20" fillId="0" fontId="7" numFmtId="2" xfId="0" applyAlignment="1" applyBorder="1" applyFont="1" applyNumberFormat="1">
      <alignment horizontal="center"/>
    </xf>
    <xf borderId="17" fillId="0" fontId="7" numFmtId="2" xfId="0" applyAlignment="1" applyBorder="1" applyFont="1" applyNumberFormat="1">
      <alignment horizontal="center"/>
    </xf>
    <xf borderId="32" fillId="2" fontId="2" numFmtId="0" xfId="0" applyAlignment="1" applyBorder="1" applyFont="1">
      <alignment horizontal="center"/>
    </xf>
    <xf borderId="23" fillId="0" fontId="7" numFmtId="2" xfId="0" applyAlignment="1" applyBorder="1" applyFont="1" applyNumberFormat="1">
      <alignment horizontal="center"/>
    </xf>
    <xf borderId="0" fillId="0" fontId="10" numFmtId="2" xfId="0" applyAlignment="1" applyFont="1" applyNumberFormat="1">
      <alignment horizontal="center"/>
    </xf>
    <xf borderId="33" fillId="2" fontId="2" numFmtId="0" xfId="0" applyAlignment="1" applyBorder="1" applyFont="1">
      <alignment horizontal="center"/>
    </xf>
    <xf borderId="34" fillId="2" fontId="2" numFmtId="0" xfId="0" applyAlignment="1" applyBorder="1" applyFont="1">
      <alignment horizontal="center"/>
    </xf>
    <xf borderId="12" fillId="2" fontId="2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12" fillId="0" fontId="2" numFmtId="2" xfId="0" applyAlignment="1" applyBorder="1" applyFont="1" applyNumberFormat="1">
      <alignment horizontal="center"/>
    </xf>
    <xf borderId="18" fillId="0" fontId="7" numFmtId="2" xfId="0" applyAlignment="1" applyBorder="1" applyFont="1" applyNumberFormat="1">
      <alignment horizontal="center"/>
    </xf>
    <xf borderId="19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23" fillId="0" fontId="7" numFmtId="1" xfId="0" applyAlignment="1" applyBorder="1" applyFont="1" applyNumberFormat="1">
      <alignment horizontal="center"/>
    </xf>
    <xf borderId="10" fillId="0" fontId="7" numFmtId="0" xfId="0" applyBorder="1" applyFont="1"/>
    <xf borderId="0" fillId="0" fontId="7" numFmtId="0" xfId="0" applyFont="1"/>
    <xf borderId="20" fillId="0" fontId="7" numFmtId="0" xfId="0" applyBorder="1" applyFont="1"/>
    <xf borderId="23" fillId="0" fontId="7" numFmtId="0" xfId="0" applyBorder="1" applyFont="1"/>
    <xf borderId="0" fillId="0" fontId="11" numFmtId="0" xfId="0" applyFont="1"/>
    <xf borderId="12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2" fillId="0" fontId="7" numFmtId="1" xfId="0" applyAlignment="1" applyBorder="1" applyFont="1" applyNumberFormat="1">
      <alignment horizontal="center"/>
    </xf>
    <xf borderId="19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17" fillId="0" fontId="10" numFmtId="2" xfId="0" applyAlignment="1" applyBorder="1" applyFont="1" applyNumberFormat="1">
      <alignment horizontal="center"/>
    </xf>
    <xf borderId="12" fillId="2" fontId="12" numFmtId="0" xfId="0" applyAlignment="1" applyBorder="1" applyFont="1">
      <alignment horizontal="center"/>
    </xf>
    <xf borderId="20" fillId="0" fontId="10" numFmtId="2" xfId="0" applyAlignment="1" applyBorder="1" applyFont="1" applyNumberFormat="1">
      <alignment horizontal="center"/>
    </xf>
    <xf borderId="23" fillId="0" fontId="10" numFmtId="2" xfId="0" applyAlignment="1" applyBorder="1" applyFont="1" applyNumberFormat="1">
      <alignment horizontal="center"/>
    </xf>
    <xf borderId="0" fillId="0" fontId="7" numFmtId="2" xfId="0" applyFont="1" applyNumberFormat="1"/>
    <xf borderId="21" fillId="0" fontId="3" numFmtId="0" xfId="0" applyBorder="1" applyFont="1"/>
    <xf borderId="22" fillId="0" fontId="3" numFmtId="0" xfId="0" applyBorder="1" applyFont="1"/>
    <xf borderId="2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Docencia p= 1</a:t>
            </a:r>
          </a:p>
        </c:rich>
      </c:tx>
      <c:layout>
        <c:manualLayout>
          <c:xMode val="edge"/>
          <c:yMode val="edge"/>
          <c:x val="0.3480069991251094"/>
          <c:y val="0.027777777777777776"/>
        </c:manualLayout>
      </c:layout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AD!$I$7:$P$7</c:f>
            </c:strRef>
          </c:cat>
          <c:val>
            <c:numRef>
              <c:f>AD!$I$8:$P$8</c:f>
              <c:numCache/>
            </c:numRef>
          </c:val>
          <c:smooth val="1"/>
        </c:ser>
        <c:axId val="1497792564"/>
        <c:axId val="1082919400"/>
      </c:radarChart>
      <c:catAx>
        <c:axId val="1497792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919400"/>
      </c:catAx>
      <c:valAx>
        <c:axId val="1082919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79256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Docencia p= 2</a:t>
            </a:r>
          </a:p>
        </c:rich>
      </c:tx>
      <c:layout>
        <c:manualLayout>
          <c:xMode val="edge"/>
          <c:yMode val="edge"/>
          <c:x val="0.3689879935220864"/>
          <c:y val="0.02282746202571302"/>
        </c:manualLayout>
      </c:layout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AD!$I$7:$P$7</c:f>
            </c:strRef>
          </c:cat>
          <c:val>
            <c:numRef>
              <c:f>AD!$I$9:$P$9</c:f>
              <c:numCache/>
            </c:numRef>
          </c:val>
          <c:smooth val="1"/>
        </c:ser>
        <c:axId val="1103206900"/>
        <c:axId val="1717705509"/>
      </c:radarChart>
      <c:catAx>
        <c:axId val="1103206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705509"/>
      </c:catAx>
      <c:valAx>
        <c:axId val="1717705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20690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Docencia- 3</a:t>
            </a:r>
          </a:p>
        </c:rich>
      </c:tx>
      <c:layout>
        <c:manualLayout>
          <c:xMode val="edge"/>
          <c:yMode val="edge"/>
          <c:x val="0.3366140464326018"/>
          <c:y val="0.041223310399733495"/>
        </c:manualLayout>
      </c:layout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AD!$I$7:$P$7</c:f>
            </c:strRef>
          </c:cat>
          <c:val>
            <c:numRef>
              <c:f>AD!$I$10:$P$10</c:f>
              <c:numCache/>
            </c:numRef>
          </c:val>
          <c:smooth val="1"/>
        </c:ser>
        <c:axId val="742438021"/>
        <c:axId val="1210743711"/>
      </c:radarChart>
      <c:catAx>
        <c:axId val="742438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743711"/>
      </c:catAx>
      <c:valAx>
        <c:axId val="1210743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43802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Docencia - 4</a:t>
            </a:r>
          </a:p>
        </c:rich>
      </c:tx>
      <c:layout>
        <c:manualLayout>
          <c:xMode val="edge"/>
          <c:yMode val="edge"/>
          <c:x val="0.41189588801399823"/>
          <c:y val="0.046296296296296294"/>
        </c:manualLayout>
      </c:layout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AD!$I$7:$P$7</c:f>
            </c:strRef>
          </c:cat>
          <c:val>
            <c:numRef>
              <c:f>AD!$I$11:$P$11</c:f>
              <c:numCache/>
            </c:numRef>
          </c:val>
          <c:smooth val="1"/>
        </c:ser>
        <c:axId val="2000000202"/>
        <c:axId val="1995188709"/>
      </c:radarChart>
      <c:catAx>
        <c:axId val="2000000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188709"/>
      </c:catAx>
      <c:valAx>
        <c:axId val="1995188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00020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Docencia</a:t>
            </a:r>
          </a:p>
        </c:rich>
      </c:tx>
      <c:layout>
        <c:manualLayout>
          <c:xMode val="edge"/>
          <c:yMode val="edge"/>
          <c:x val="0.3481111111111111"/>
          <c:y val="0.041666666666666664"/>
        </c:manualLayout>
      </c:layout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AD!$I$7:$P$7</c:f>
            </c:strRef>
          </c:cat>
          <c:val>
            <c:numRef>
              <c:f>AD!$I$12:$P$12</c:f>
              <c:numCache/>
            </c:numRef>
          </c:val>
          <c:smooth val="1"/>
        </c:ser>
        <c:axId val="1432269167"/>
        <c:axId val="1043664946"/>
      </c:radarChart>
      <c:catAx>
        <c:axId val="143226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664946"/>
      </c:catAx>
      <c:valAx>
        <c:axId val="1043664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26916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Puntaje Anual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Puntaje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Puntaje!$K$4:$K$7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142294"/>
        <c:axId val="55121188"/>
      </c:scatterChart>
      <c:valAx>
        <c:axId val="1130142294"/>
        <c:scaling>
          <c:orientation val="minMax"/>
          <c:max val="4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 (p)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21188"/>
        <c:majorUnit val="1.0"/>
        <c:minorUnit val="1.0"/>
      </c:valAx>
      <c:valAx>
        <c:axId val="551211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Puntaje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142294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Indice de Actividad Docente en k años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IA1kjl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AD!$V$8:$V$11</c:f>
              <c:numCache/>
            </c:numRef>
          </c:val>
          <c:smooth val="0"/>
        </c:ser>
        <c:axId val="1131213493"/>
        <c:axId val="1765515212"/>
      </c:lineChart>
      <c:catAx>
        <c:axId val="1131213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Años (p)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515212"/>
      </c:catAx>
      <c:valAx>
        <c:axId val="17655152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IAD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1213493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Docencia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Puntaje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Puntaje!$K$4:$K$7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17616"/>
        <c:axId val="237995863"/>
      </c:scatterChart>
      <c:valAx>
        <c:axId val="64417616"/>
        <c:scaling>
          <c:orientation val="minMax"/>
          <c:max val="4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 (p)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995863"/>
        <c:majorUnit val="1.0"/>
        <c:minorUnit val="1.0"/>
      </c:valAx>
      <c:valAx>
        <c:axId val="237995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Puntaje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1761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13</xdr:row>
      <xdr:rowOff>171450</xdr:rowOff>
    </xdr:from>
    <xdr:ext cx="5086350" cy="2886075"/>
    <xdr:graphicFrame>
      <xdr:nvGraphicFramePr>
        <xdr:cNvPr id="20368463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28575</xdr:colOff>
      <xdr:row>14</xdr:row>
      <xdr:rowOff>9525</xdr:rowOff>
    </xdr:from>
    <xdr:ext cx="4972050" cy="2800350"/>
    <xdr:graphicFrame>
      <xdr:nvGraphicFramePr>
        <xdr:cNvPr id="106126259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38100</xdr:colOff>
      <xdr:row>13</xdr:row>
      <xdr:rowOff>180975</xdr:rowOff>
    </xdr:from>
    <xdr:ext cx="5810250" cy="2867025"/>
    <xdr:graphicFrame>
      <xdr:nvGraphicFramePr>
        <xdr:cNvPr id="9765547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666750</xdr:colOff>
      <xdr:row>29</xdr:row>
      <xdr:rowOff>28575</xdr:rowOff>
    </xdr:from>
    <xdr:ext cx="5153025" cy="2876550"/>
    <xdr:graphicFrame>
      <xdr:nvGraphicFramePr>
        <xdr:cNvPr id="135940988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19050</xdr:colOff>
      <xdr:row>45</xdr:row>
      <xdr:rowOff>28575</xdr:rowOff>
    </xdr:from>
    <xdr:ext cx="5153025" cy="3324225"/>
    <xdr:graphicFrame>
      <xdr:nvGraphicFramePr>
        <xdr:cNvPr id="58737236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561975</xdr:colOff>
      <xdr:row>44</xdr:row>
      <xdr:rowOff>133350</xdr:rowOff>
    </xdr:from>
    <xdr:ext cx="5486400" cy="3409950"/>
    <xdr:graphicFrame>
      <xdr:nvGraphicFramePr>
        <xdr:cNvPr id="52778682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47625</xdr:colOff>
      <xdr:row>44</xdr:row>
      <xdr:rowOff>142875</xdr:rowOff>
    </xdr:from>
    <xdr:ext cx="6943725" cy="3476625"/>
    <xdr:graphicFrame>
      <xdr:nvGraphicFramePr>
        <xdr:cNvPr id="162997159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257175</xdr:colOff>
      <xdr:row>29</xdr:row>
      <xdr:rowOff>104775</xdr:rowOff>
    </xdr:from>
    <xdr:ext cx="1371600" cy="714375"/>
    <xdr:sp>
      <xdr:nvSpPr>
        <xdr:cNvPr id="3" name="Shape 3"/>
        <xdr:cNvSpPr txBox="1"/>
      </xdr:nvSpPr>
      <xdr:spPr>
        <a:xfrm>
          <a:off x="4664963" y="3426506"/>
          <a:ext cx="1362075" cy="706988"/>
        </a:xfrm>
        <a:prstGeom prst="rect">
          <a:avLst/>
        </a:prstGeom>
        <a:solidFill>
          <a:srgbClr val="C5D8F1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AD</a:t>
          </a:r>
          <a:r>
            <a:rPr b="1" baseline="-25000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 </a:t>
          </a:r>
          <a:r>
            <a:rPr b="1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Medio=   1,63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IA</a:t>
          </a:r>
          <a:r>
            <a:rPr b="1" baseline="-25000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14                 </a:t>
          </a:r>
          <a:r>
            <a:rPr b="1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  2,28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PD</a:t>
          </a:r>
          <a:r>
            <a:rPr b="1" baseline="-25000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                 </a:t>
          </a:r>
          <a:r>
            <a:rPr b="1" i="1"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 70,53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IA</a:t>
          </a:r>
          <a:r>
            <a:rPr b="1" baseline="-25000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14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=  3,81</a:t>
          </a:r>
          <a:endParaRPr sz="10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20</xdr:row>
      <xdr:rowOff>28575</xdr:rowOff>
    </xdr:from>
    <xdr:ext cx="5038725" cy="2819400"/>
    <xdr:graphicFrame>
      <xdr:nvGraphicFramePr>
        <xdr:cNvPr id="1505058506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3"/>
    <col customWidth="1" min="2" max="2" width="7.7"/>
    <col customWidth="1" min="3" max="3" width="10.4"/>
    <col customWidth="1" min="4" max="4" width="10.3"/>
    <col customWidth="1" min="5" max="5" width="12.1"/>
    <col customWidth="1" min="6" max="6" width="13.6"/>
    <col customWidth="1" min="7" max="7" width="8.2"/>
    <col customWidth="1" min="8" max="8" width="9.3"/>
    <col customWidth="1" min="9" max="9" width="7.7"/>
    <col customWidth="1" min="10" max="10" width="8.7"/>
    <col customWidth="1" min="11" max="11" width="8.4"/>
    <col customWidth="1" min="12" max="15" width="7.4"/>
    <col customWidth="1" min="16" max="16" width="8.0"/>
    <col customWidth="1" min="17" max="18" width="9.7"/>
    <col customWidth="1" min="19" max="19" width="8.1"/>
    <col customWidth="1" min="20" max="20" width="17.8"/>
    <col customWidth="1" min="21" max="21" width="16.1"/>
    <col customWidth="1" min="22" max="22" width="16.6"/>
    <col customWidth="1" min="23" max="23" width="15.6"/>
    <col customWidth="1" min="24" max="24" width="10.5"/>
    <col customWidth="1" min="25" max="25" width="13.0"/>
    <col customWidth="1" min="26" max="26" width="14.7"/>
  </cols>
  <sheetData>
    <row r="2">
      <c r="B2" s="1" t="s">
        <v>116</v>
      </c>
      <c r="C2" s="1" t="s">
        <v>118</v>
      </c>
      <c r="X2" s="75" t="s">
        <v>119</v>
      </c>
      <c r="Y2" s="1" t="s">
        <v>120</v>
      </c>
    </row>
    <row r="3">
      <c r="X3" s="1" t="s">
        <v>121</v>
      </c>
    </row>
    <row r="4">
      <c r="B4" s="77" t="s">
        <v>5</v>
      </c>
      <c r="C4" s="5" t="s">
        <v>67</v>
      </c>
      <c r="D4" s="5" t="s">
        <v>124</v>
      </c>
      <c r="E4" s="8" t="s">
        <v>125</v>
      </c>
      <c r="F4" s="13"/>
      <c r="G4" s="3" t="s">
        <v>127</v>
      </c>
      <c r="H4" s="6"/>
      <c r="I4" s="8" t="s">
        <v>130</v>
      </c>
      <c r="J4" s="11"/>
      <c r="K4" s="11"/>
      <c r="L4" s="11"/>
      <c r="M4" s="11"/>
      <c r="N4" s="11"/>
      <c r="O4" s="11"/>
      <c r="P4" s="11"/>
      <c r="Q4" s="11"/>
      <c r="R4" s="13"/>
      <c r="S4" s="9" t="s">
        <v>16</v>
      </c>
      <c r="T4" s="5" t="s">
        <v>134</v>
      </c>
      <c r="U4" s="5" t="s">
        <v>136</v>
      </c>
      <c r="V4" s="5" t="s">
        <v>136</v>
      </c>
      <c r="W4" s="14"/>
      <c r="X4" s="77" t="s">
        <v>67</v>
      </c>
      <c r="Y4" s="5" t="s">
        <v>124</v>
      </c>
      <c r="Z4" s="79" t="s">
        <v>140</v>
      </c>
    </row>
    <row r="5">
      <c r="B5" s="59"/>
      <c r="C5" s="17"/>
      <c r="D5" s="17"/>
      <c r="E5" s="5" t="s">
        <v>144</v>
      </c>
      <c r="F5" s="2" t="s">
        <v>146</v>
      </c>
      <c r="G5" s="18" t="s">
        <v>147</v>
      </c>
      <c r="H5" s="59" t="s">
        <v>148</v>
      </c>
      <c r="I5" s="59"/>
      <c r="J5" s="80"/>
      <c r="K5" s="80"/>
      <c r="L5" s="80"/>
      <c r="M5" s="80"/>
      <c r="N5" s="80"/>
      <c r="O5" s="80"/>
      <c r="P5" s="80"/>
      <c r="Q5" s="80"/>
      <c r="R5" s="81"/>
      <c r="S5" s="82" t="s">
        <v>149</v>
      </c>
      <c r="T5" s="17" t="s">
        <v>151</v>
      </c>
      <c r="U5" s="17" t="s">
        <v>152</v>
      </c>
      <c r="V5" s="17" t="s">
        <v>152</v>
      </c>
      <c r="W5" s="14"/>
      <c r="X5" s="59" t="s">
        <v>153</v>
      </c>
      <c r="Y5" s="20" t="s">
        <v>154</v>
      </c>
      <c r="Z5" s="82" t="s">
        <v>155</v>
      </c>
    </row>
    <row r="6">
      <c r="B6" s="59" t="s">
        <v>156</v>
      </c>
      <c r="C6" s="17"/>
      <c r="D6" s="17"/>
      <c r="E6" s="17" t="s">
        <v>157</v>
      </c>
      <c r="F6" s="18" t="s">
        <v>157</v>
      </c>
      <c r="G6" s="17" t="s">
        <v>158</v>
      </c>
      <c r="H6" s="59" t="s">
        <v>159</v>
      </c>
      <c r="I6" s="3" t="s">
        <v>160</v>
      </c>
      <c r="J6" s="4"/>
      <c r="K6" s="4"/>
      <c r="L6" s="4"/>
      <c r="M6" s="4"/>
      <c r="N6" s="4"/>
      <c r="O6" s="4"/>
      <c r="P6" s="7"/>
      <c r="Q6" s="5" t="s">
        <v>161</v>
      </c>
      <c r="R6" s="5" t="s">
        <v>161</v>
      </c>
      <c r="S6" s="17" t="s">
        <v>16</v>
      </c>
      <c r="T6" s="17" t="s">
        <v>16</v>
      </c>
      <c r="U6" s="17" t="s">
        <v>163</v>
      </c>
      <c r="V6" s="17" t="s">
        <v>164</v>
      </c>
      <c r="W6" s="14"/>
      <c r="X6" s="30" t="s">
        <v>166</v>
      </c>
      <c r="Y6" s="30" t="s">
        <v>167</v>
      </c>
      <c r="Z6" s="30">
        <f>Puntaje!W4</f>
        <v>31</v>
      </c>
    </row>
    <row r="7">
      <c r="B7" s="59" t="s">
        <v>173</v>
      </c>
      <c r="C7" s="20" t="s">
        <v>153</v>
      </c>
      <c r="D7" s="20" t="s">
        <v>154</v>
      </c>
      <c r="E7" s="20" t="s">
        <v>175</v>
      </c>
      <c r="F7" s="20" t="s">
        <v>177</v>
      </c>
      <c r="G7" s="20" t="s">
        <v>179</v>
      </c>
      <c r="H7" s="20" t="s">
        <v>180</v>
      </c>
      <c r="I7" s="20" t="s">
        <v>181</v>
      </c>
      <c r="J7" s="20" t="s">
        <v>182</v>
      </c>
      <c r="K7" s="20" t="s">
        <v>183</v>
      </c>
      <c r="L7" s="20" t="s">
        <v>184</v>
      </c>
      <c r="M7" s="20" t="s">
        <v>186</v>
      </c>
      <c r="N7" s="20" t="s">
        <v>187</v>
      </c>
      <c r="O7" s="20" t="s">
        <v>188</v>
      </c>
      <c r="P7" s="20" t="s">
        <v>189</v>
      </c>
      <c r="Q7" s="20" t="s">
        <v>191</v>
      </c>
      <c r="R7" s="20" t="s">
        <v>192</v>
      </c>
      <c r="S7" s="20" t="s">
        <v>194</v>
      </c>
      <c r="T7" s="20" t="s">
        <v>196</v>
      </c>
      <c r="U7" s="20" t="s">
        <v>197</v>
      </c>
      <c r="V7" s="17" t="s">
        <v>198</v>
      </c>
      <c r="W7" s="14"/>
      <c r="X7" s="36" t="s">
        <v>200</v>
      </c>
      <c r="Y7" s="36" t="s">
        <v>167</v>
      </c>
      <c r="Z7" s="36">
        <f>Puntaje!W5</f>
        <v>31</v>
      </c>
    </row>
    <row r="8">
      <c r="B8" s="30">
        <v>1.0</v>
      </c>
      <c r="C8" s="30" t="s">
        <v>204</v>
      </c>
      <c r="D8" s="30" t="s">
        <v>205</v>
      </c>
      <c r="E8" s="30">
        <v>5.0</v>
      </c>
      <c r="F8" s="30">
        <v>3.0</v>
      </c>
      <c r="G8" s="85">
        <f t="shared" ref="G8:G11" si="1">1-(E8+F8)/12</f>
        <v>0.3333333333</v>
      </c>
      <c r="H8" s="85">
        <f>B8/G8</f>
        <v>3</v>
      </c>
      <c r="I8" s="30">
        <f>'AD1'!G14</f>
        <v>1</v>
      </c>
      <c r="J8" s="30">
        <f>'AD2'!P9</f>
        <v>1</v>
      </c>
      <c r="K8" s="30">
        <f>'AD3'!I15</f>
        <v>3</v>
      </c>
      <c r="L8" s="30">
        <f>'AD4'!H9</f>
        <v>3</v>
      </c>
      <c r="M8" s="30">
        <f>'AD5'!J13</f>
        <v>3</v>
      </c>
      <c r="N8" s="30">
        <f>'AD6'!F9</f>
        <v>3</v>
      </c>
      <c r="O8" s="30">
        <f>'AD7'!E10</f>
        <v>3</v>
      </c>
      <c r="P8" s="30">
        <f>'AD8'!I10</f>
        <v>3</v>
      </c>
      <c r="Q8" s="30">
        <f t="shared" ref="Q8:Q12" si="2">SUM(I8:P8)</f>
        <v>20</v>
      </c>
      <c r="R8" s="86">
        <f t="shared" ref="R8:R12" si="3">Q8/8</f>
        <v>2.5</v>
      </c>
      <c r="S8" s="86">
        <f>Puntaje!K4</f>
        <v>147.6481481</v>
      </c>
      <c r="T8" s="30">
        <f t="shared" ref="T8:T11" si="4">IF(AND(C8="T",D8="EX"),$Z$6,IF(AND(C8="AS",D8="EX"),$Z$7,IF(AND(C8="AJ",D8="EX"),$Z$8,IF(AND(C8="JTP",D8="EX"),$Z$9,IF(AND(C8="AY1",D8="EX"),$Z$10,IF(AND(C8="T",D8="SE"),$Z$11,IF(AND(C8="AS",D8="SE"),$Z$12,IF(AND(C8="AJ",D8="SE"),$Z$13,IF(AND(C8="JTP",D8="SE"),$Z$14,IF(AND(C8="AY1",D8="SE"),$Z$15,IF(AND(C8="T",D8="DS"),$Z$16,IF(AND(C8="AS",D8="DS"),$Z$17,IF(AND(C8="AJ",D8="DS"),$Z$18,IF(AND(C8="JTP",D8="DS"),$Z$19,IF(AND(C8="AY1",D8="DS"),$Z$20,IF(AND(C8="AY2",D8="DS"),$Z$21,0))))))))))))))))</f>
        <v>31</v>
      </c>
      <c r="U8" s="86">
        <f t="shared" ref="U8:U11" si="5">S8/T8/G8</f>
        <v>14.28853047</v>
      </c>
      <c r="V8" s="86">
        <f>S8/T8*H8</f>
        <v>14.28853047</v>
      </c>
      <c r="W8" s="41"/>
      <c r="X8" s="36" t="s">
        <v>204</v>
      </c>
      <c r="Y8" s="36" t="s">
        <v>167</v>
      </c>
      <c r="Z8" s="36">
        <f>Puntaje!W6</f>
        <v>31</v>
      </c>
    </row>
    <row r="9">
      <c r="B9" s="36">
        <v>2.0</v>
      </c>
      <c r="C9" s="36" t="s">
        <v>166</v>
      </c>
      <c r="D9" s="36" t="s">
        <v>205</v>
      </c>
      <c r="E9" s="36">
        <v>3.0</v>
      </c>
      <c r="F9" s="36">
        <v>0.0</v>
      </c>
      <c r="G9" s="85">
        <f t="shared" si="1"/>
        <v>0.75</v>
      </c>
      <c r="H9" s="85">
        <f>B9/SUM(G8:G9)</f>
        <v>1.846153846</v>
      </c>
      <c r="I9" s="36">
        <f>'AD1'!J14</f>
        <v>1</v>
      </c>
      <c r="J9" s="36">
        <f>'AD2'!P17</f>
        <v>1</v>
      </c>
      <c r="K9" s="36">
        <f>'AD3'!I28</f>
        <v>3</v>
      </c>
      <c r="L9" s="36">
        <f>'AD4'!H18</f>
        <v>1</v>
      </c>
      <c r="M9" s="36">
        <f>'AD5'!J24</f>
        <v>1</v>
      </c>
      <c r="N9" s="36">
        <f>'AD6'!F17</f>
        <v>3</v>
      </c>
      <c r="O9" s="36">
        <f>'AD7'!E20</f>
        <v>3</v>
      </c>
      <c r="P9" s="36">
        <f>'AD8'!I21</f>
        <v>3</v>
      </c>
      <c r="Q9" s="36">
        <f t="shared" si="2"/>
        <v>16</v>
      </c>
      <c r="R9" s="85">
        <f t="shared" si="3"/>
        <v>2</v>
      </c>
      <c r="S9" s="85">
        <f>Puntaje!K5</f>
        <v>93.34814815</v>
      </c>
      <c r="T9" s="36">
        <f t="shared" si="4"/>
        <v>31</v>
      </c>
      <c r="U9" s="85">
        <f t="shared" si="5"/>
        <v>4.014974114</v>
      </c>
      <c r="V9" s="85">
        <f>SUM(S8:S9)/SUM(T8:T9)*H9</f>
        <v>7.176068376</v>
      </c>
      <c r="W9" s="41"/>
      <c r="X9" s="36" t="s">
        <v>236</v>
      </c>
      <c r="Y9" s="36" t="s">
        <v>167</v>
      </c>
      <c r="Z9" s="36">
        <f>Puntaje!W7</f>
        <v>28</v>
      </c>
    </row>
    <row r="10">
      <c r="B10" s="36">
        <v>3.0</v>
      </c>
      <c r="C10" s="36" t="s">
        <v>166</v>
      </c>
      <c r="D10" s="36" t="s">
        <v>167</v>
      </c>
      <c r="E10" s="36">
        <v>0.0</v>
      </c>
      <c r="F10" s="36">
        <v>0.0</v>
      </c>
      <c r="G10" s="85">
        <f t="shared" si="1"/>
        <v>1</v>
      </c>
      <c r="H10" s="85">
        <f>B10/SUM(G8:G10)</f>
        <v>1.44</v>
      </c>
      <c r="I10" s="36">
        <f>'AD1'!M14</f>
        <v>3</v>
      </c>
      <c r="J10" s="36">
        <f>'AD2'!P25</f>
        <v>1</v>
      </c>
      <c r="K10" s="36">
        <f>'AD3'!I42</f>
        <v>3</v>
      </c>
      <c r="L10" s="36">
        <f>'AD4'!H28</f>
        <v>3</v>
      </c>
      <c r="M10" s="36">
        <f>'AD5'!J35</f>
        <v>0</v>
      </c>
      <c r="N10" s="36">
        <f>'AD6'!F26</f>
        <v>1</v>
      </c>
      <c r="O10" s="36">
        <f>'AD7'!E29</f>
        <v>1</v>
      </c>
      <c r="P10" s="36">
        <f>'AD8'!I32</f>
        <v>0</v>
      </c>
      <c r="Q10" s="36">
        <f t="shared" si="2"/>
        <v>12</v>
      </c>
      <c r="R10" s="85">
        <f t="shared" si="3"/>
        <v>1.5</v>
      </c>
      <c r="S10" s="85">
        <f>Puntaje!K6</f>
        <v>52.44814815</v>
      </c>
      <c r="T10" s="36">
        <f t="shared" si="4"/>
        <v>31</v>
      </c>
      <c r="U10" s="85">
        <f t="shared" si="5"/>
        <v>1.691875747</v>
      </c>
      <c r="V10" s="85">
        <f>SUM(S8:S10)/SUM(T8:T10)*H10</f>
        <v>4.543655914</v>
      </c>
      <c r="W10" s="41"/>
      <c r="X10" s="36" t="s">
        <v>240</v>
      </c>
      <c r="Y10" s="36" t="s">
        <v>167</v>
      </c>
      <c r="Z10" s="36">
        <f>Puntaje!W8</f>
        <v>26</v>
      </c>
    </row>
    <row r="11">
      <c r="B11" s="57">
        <v>4.0</v>
      </c>
      <c r="C11" s="57" t="s">
        <v>166</v>
      </c>
      <c r="D11" s="57" t="s">
        <v>167</v>
      </c>
      <c r="E11" s="57">
        <v>0.0</v>
      </c>
      <c r="F11" s="57">
        <v>0.0</v>
      </c>
      <c r="G11" s="85">
        <f t="shared" si="1"/>
        <v>1</v>
      </c>
      <c r="H11" s="85">
        <f>B11/SUM(G8:G11)</f>
        <v>1.297297297</v>
      </c>
      <c r="I11" s="57">
        <f>'AD1'!P14</f>
        <v>3</v>
      </c>
      <c r="J11" s="57">
        <f>'AD2'!P33</f>
        <v>1</v>
      </c>
      <c r="K11" s="57">
        <f>'AD3'!I55</f>
        <v>3</v>
      </c>
      <c r="L11" s="57">
        <f>'AD4'!H37</f>
        <v>3</v>
      </c>
      <c r="M11" s="57">
        <f>'AD5'!J46</f>
        <v>3</v>
      </c>
      <c r="N11" s="57">
        <f>'AD6'!F34</f>
        <v>0</v>
      </c>
      <c r="O11" s="57">
        <f>'AD7'!E38</f>
        <v>0</v>
      </c>
      <c r="P11" s="57">
        <f>'AD8'!I42</f>
        <v>0</v>
      </c>
      <c r="Q11" s="57">
        <f t="shared" si="2"/>
        <v>13</v>
      </c>
      <c r="R11" s="88">
        <f t="shared" si="3"/>
        <v>1.625</v>
      </c>
      <c r="S11" s="85">
        <f>Puntaje!K7</f>
        <v>70.53148148</v>
      </c>
      <c r="T11" s="57">
        <f t="shared" si="4"/>
        <v>31</v>
      </c>
      <c r="U11" s="85">
        <f t="shared" si="5"/>
        <v>2.27520908</v>
      </c>
      <c r="V11" s="85">
        <f>SUM(S8:S11)/SUM(T8:T11)*H11</f>
        <v>3.807943427</v>
      </c>
      <c r="W11" s="89"/>
      <c r="X11" s="36" t="s">
        <v>166</v>
      </c>
      <c r="Y11" s="36" t="s">
        <v>205</v>
      </c>
      <c r="Z11" s="36">
        <f>Puntaje!W9</f>
        <v>31</v>
      </c>
    </row>
    <row r="12">
      <c r="G12" s="39">
        <f>SUM(G8:G11)</f>
        <v>3.083333333</v>
      </c>
      <c r="H12" s="86"/>
      <c r="I12" s="65">
        <f t="shared" ref="I12:P12" si="6">SUM(I8:I11)/4</f>
        <v>2</v>
      </c>
      <c r="J12" s="65">
        <f t="shared" si="6"/>
        <v>1</v>
      </c>
      <c r="K12" s="65">
        <f t="shared" si="6"/>
        <v>3</v>
      </c>
      <c r="L12" s="65">
        <f t="shared" si="6"/>
        <v>2.5</v>
      </c>
      <c r="M12" s="65">
        <f t="shared" si="6"/>
        <v>1.75</v>
      </c>
      <c r="N12" s="65">
        <f t="shared" si="6"/>
        <v>1.75</v>
      </c>
      <c r="O12" s="65">
        <f t="shared" si="6"/>
        <v>1.75</v>
      </c>
      <c r="P12" s="65">
        <f t="shared" si="6"/>
        <v>1.5</v>
      </c>
      <c r="Q12" s="65">
        <f t="shared" si="2"/>
        <v>15.25</v>
      </c>
      <c r="R12" s="92">
        <f t="shared" si="3"/>
        <v>1.90625</v>
      </c>
      <c r="S12" s="93">
        <f t="shared" ref="S12:T12" si="7">SUM(S8:S11)</f>
        <v>363.9759259</v>
      </c>
      <c r="T12" s="94">
        <f t="shared" si="7"/>
        <v>124</v>
      </c>
      <c r="U12" s="95">
        <f>S12/T12*H11</f>
        <v>3.807943427</v>
      </c>
      <c r="V12" s="96"/>
      <c r="W12" s="97"/>
      <c r="X12" s="36" t="s">
        <v>200</v>
      </c>
      <c r="Y12" s="36" t="s">
        <v>205</v>
      </c>
      <c r="Z12" s="36">
        <f>Puntaje!W10</f>
        <v>31</v>
      </c>
    </row>
    <row r="13">
      <c r="Q13" s="85"/>
      <c r="X13" s="36" t="s">
        <v>204</v>
      </c>
      <c r="Y13" s="36" t="s">
        <v>205</v>
      </c>
      <c r="Z13" s="36">
        <f>Puntaje!W11</f>
        <v>31</v>
      </c>
    </row>
    <row r="14">
      <c r="X14" s="36" t="s">
        <v>236</v>
      </c>
      <c r="Y14" s="36" t="s">
        <v>205</v>
      </c>
      <c r="Z14" s="36">
        <f>Puntaje!W12</f>
        <v>28</v>
      </c>
    </row>
    <row r="15">
      <c r="X15" s="36" t="s">
        <v>240</v>
      </c>
      <c r="Y15" s="36" t="s">
        <v>205</v>
      </c>
      <c r="Z15" s="36">
        <f>Puntaje!W13</f>
        <v>26</v>
      </c>
    </row>
    <row r="16">
      <c r="X16" s="36" t="s">
        <v>166</v>
      </c>
      <c r="Y16" s="36" t="s">
        <v>256</v>
      </c>
      <c r="Z16" s="36">
        <f>Puntaje!W14</f>
        <v>31</v>
      </c>
    </row>
    <row r="17">
      <c r="X17" s="36" t="s">
        <v>200</v>
      </c>
      <c r="Y17" s="36" t="s">
        <v>256</v>
      </c>
      <c r="Z17" s="36">
        <f>Puntaje!W15</f>
        <v>31</v>
      </c>
    </row>
    <row r="18">
      <c r="X18" s="36" t="s">
        <v>204</v>
      </c>
      <c r="Y18" s="36" t="s">
        <v>256</v>
      </c>
      <c r="Z18" s="36">
        <f>Puntaje!W16</f>
        <v>31</v>
      </c>
    </row>
    <row r="19">
      <c r="X19" s="36" t="s">
        <v>236</v>
      </c>
      <c r="Y19" s="36" t="s">
        <v>256</v>
      </c>
      <c r="Z19" s="36">
        <f>Puntaje!W17</f>
        <v>28</v>
      </c>
    </row>
    <row r="20">
      <c r="X20" s="36" t="s">
        <v>240</v>
      </c>
      <c r="Y20" s="36" t="s">
        <v>256</v>
      </c>
      <c r="Z20" s="36">
        <f>Puntaje!W18</f>
        <v>26</v>
      </c>
    </row>
    <row r="21" ht="15.75" customHeight="1">
      <c r="X21" s="57" t="s">
        <v>257</v>
      </c>
      <c r="Y21" s="57" t="s">
        <v>256</v>
      </c>
      <c r="Z21" s="57">
        <f>Puntaje!W19</f>
        <v>25</v>
      </c>
    </row>
    <row r="22" ht="15.75" customHeight="1"/>
    <row r="23" ht="15.75" customHeight="1"/>
    <row r="24" ht="15.75" customHeight="1">
      <c r="V24" s="41"/>
    </row>
    <row r="25" ht="15.75" customHeight="1">
      <c r="V25" s="41"/>
      <c r="W25" s="41"/>
    </row>
    <row r="26" ht="15.75" customHeight="1">
      <c r="V26" s="41"/>
      <c r="W26" s="41"/>
    </row>
    <row r="27" ht="15.75" customHeight="1">
      <c r="V27" s="41"/>
      <c r="W27" s="41"/>
    </row>
    <row r="28" ht="15.75" customHeight="1">
      <c r="V28" s="41"/>
      <c r="W28" s="41"/>
    </row>
    <row r="29" ht="15.75" customHeight="1">
      <c r="V29" s="41"/>
    </row>
    <row r="30" ht="15.75" customHeight="1">
      <c r="V30" s="41"/>
    </row>
    <row r="31" ht="15.75" customHeight="1"/>
    <row r="32" ht="15.75" customHeight="1"/>
    <row r="33" ht="15.75" customHeight="1"/>
    <row r="34" ht="15.75" customHeight="1">
      <c r="X34" s="1" t="s">
        <v>16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4:F4"/>
    <mergeCell ref="G4:H4"/>
    <mergeCell ref="I4:R4"/>
    <mergeCell ref="I6:P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.8"/>
    <col customWidth="1" min="2" max="2" width="17.1"/>
    <col customWidth="1" min="3" max="3" width="16.7"/>
    <col customWidth="1" min="4" max="4" width="10.7"/>
    <col customWidth="1" min="5" max="6" width="9.9"/>
    <col customWidth="1" min="7" max="7" width="10.0"/>
    <col customWidth="1" min="8" max="9" width="8.7"/>
    <col customWidth="1" min="10" max="10" width="10.2"/>
    <col customWidth="1" min="11" max="12" width="8.9"/>
    <col customWidth="1" min="13" max="13" width="9.2"/>
    <col customWidth="1" min="14" max="15" width="9.1"/>
    <col customWidth="1" min="16" max="16" width="9.7"/>
    <col customWidth="1" min="17" max="17" width="1.3"/>
    <col customWidth="1" min="18" max="18" width="1.4"/>
    <col customWidth="1" min="19" max="19" width="24.4"/>
    <col customWidth="1" min="20" max="20" width="22.4"/>
    <col customWidth="1" min="21" max="21" width="5.3"/>
    <col customWidth="1" min="22" max="22" width="26.9"/>
    <col customWidth="1" min="23" max="23" width="18.4"/>
    <col customWidth="1" min="24" max="26" width="10.5"/>
  </cols>
  <sheetData>
    <row r="2">
      <c r="B2" s="1" t="s">
        <v>0</v>
      </c>
      <c r="C2" s="1" t="s">
        <v>3</v>
      </c>
    </row>
    <row r="3">
      <c r="E3" s="3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6"/>
    </row>
    <row r="4">
      <c r="E4" s="3">
        <v>1.0</v>
      </c>
      <c r="F4" s="4"/>
      <c r="G4" s="7"/>
      <c r="H4" s="3">
        <v>2.0</v>
      </c>
      <c r="I4" s="4"/>
      <c r="J4" s="6"/>
      <c r="K4" s="10">
        <v>3.0</v>
      </c>
      <c r="L4" s="4"/>
      <c r="M4" s="6"/>
      <c r="N4" s="8">
        <v>4.0</v>
      </c>
      <c r="O4" s="11"/>
      <c r="P4" s="13"/>
      <c r="S4" s="1" t="s">
        <v>17</v>
      </c>
      <c r="V4" s="16" t="s">
        <v>20</v>
      </c>
    </row>
    <row r="5">
      <c r="B5" s="8" t="s">
        <v>23</v>
      </c>
      <c r="C5" s="11"/>
      <c r="D5" s="19"/>
      <c r="E5" s="20" t="s">
        <v>28</v>
      </c>
      <c r="F5" s="22" t="s">
        <v>31</v>
      </c>
      <c r="G5" s="22" t="s">
        <v>37</v>
      </c>
      <c r="H5" s="20" t="s">
        <v>41</v>
      </c>
      <c r="I5" s="22" t="s">
        <v>43</v>
      </c>
      <c r="J5" s="22" t="s">
        <v>44</v>
      </c>
      <c r="K5" s="20" t="s">
        <v>47</v>
      </c>
      <c r="L5" s="22" t="s">
        <v>48</v>
      </c>
      <c r="M5" s="22" t="s">
        <v>51</v>
      </c>
      <c r="N5" s="21" t="s">
        <v>55</v>
      </c>
      <c r="O5" s="21" t="s">
        <v>59</v>
      </c>
      <c r="P5" s="21" t="s">
        <v>63</v>
      </c>
      <c r="S5" s="5" t="s">
        <v>64</v>
      </c>
      <c r="T5" s="5" t="s">
        <v>66</v>
      </c>
      <c r="V5" s="5" t="s">
        <v>67</v>
      </c>
      <c r="W5" s="5" t="s">
        <v>69</v>
      </c>
      <c r="X5" s="21" t="s">
        <v>71</v>
      </c>
    </row>
    <row r="6">
      <c r="B6" s="5"/>
      <c r="C6" s="33" t="s">
        <v>75</v>
      </c>
      <c r="D6" s="35"/>
      <c r="E6" s="36">
        <v>0.0</v>
      </c>
      <c r="F6" s="28">
        <v>0.0</v>
      </c>
      <c r="G6" s="37">
        <f t="shared" ref="G6:G12" si="1">E6*F6*T6</f>
        <v>0</v>
      </c>
      <c r="H6" s="36">
        <v>0.0</v>
      </c>
      <c r="I6" s="28">
        <v>0.0</v>
      </c>
      <c r="J6" s="37">
        <f t="shared" ref="J6:J12" si="2">H6*I6*T6</f>
        <v>0</v>
      </c>
      <c r="K6" s="36">
        <v>0.0</v>
      </c>
      <c r="L6" s="28">
        <v>0.0</v>
      </c>
      <c r="M6" s="37">
        <f t="shared" ref="M6:M12" si="3">K6*L6*T6</f>
        <v>0</v>
      </c>
      <c r="N6" s="36">
        <v>0.0</v>
      </c>
      <c r="O6" s="36">
        <v>0.0</v>
      </c>
      <c r="P6" s="38">
        <f t="shared" ref="P6:P12" si="4">N6*O6*T6</f>
        <v>0</v>
      </c>
      <c r="S6" s="33" t="s">
        <v>75</v>
      </c>
      <c r="T6" s="40">
        <v>1.0</v>
      </c>
      <c r="V6" s="42" t="s">
        <v>77</v>
      </c>
      <c r="W6" s="43">
        <v>6.0</v>
      </c>
      <c r="X6" s="30">
        <v>8.0</v>
      </c>
    </row>
    <row r="7">
      <c r="B7" s="44"/>
      <c r="C7" s="28" t="s">
        <v>79</v>
      </c>
      <c r="E7" s="36">
        <v>1.0</v>
      </c>
      <c r="F7" s="46">
        <v>1.0</v>
      </c>
      <c r="G7" s="37">
        <f t="shared" si="1"/>
        <v>3</v>
      </c>
      <c r="H7" s="36">
        <v>1.0</v>
      </c>
      <c r="I7" s="28">
        <v>1.0</v>
      </c>
      <c r="J7" s="37">
        <f t="shared" si="2"/>
        <v>3</v>
      </c>
      <c r="K7" s="36">
        <v>1.0</v>
      </c>
      <c r="L7" s="28">
        <v>1.0</v>
      </c>
      <c r="M7" s="37">
        <f t="shared" si="3"/>
        <v>3</v>
      </c>
      <c r="N7" s="36">
        <v>1.0</v>
      </c>
      <c r="O7" s="36">
        <v>1.0</v>
      </c>
      <c r="P7" s="47">
        <f t="shared" si="4"/>
        <v>3</v>
      </c>
      <c r="S7" s="28" t="s">
        <v>79</v>
      </c>
      <c r="T7" s="49">
        <v>3.0</v>
      </c>
      <c r="V7" s="50" t="s">
        <v>83</v>
      </c>
      <c r="W7" s="51">
        <v>6.0</v>
      </c>
      <c r="X7" s="36">
        <v>8.0</v>
      </c>
    </row>
    <row r="8">
      <c r="B8" s="52"/>
      <c r="C8" s="28" t="s">
        <v>86</v>
      </c>
      <c r="E8" s="36">
        <v>0.0</v>
      </c>
      <c r="F8" s="28">
        <v>0.0</v>
      </c>
      <c r="G8" s="37">
        <f t="shared" si="1"/>
        <v>0</v>
      </c>
      <c r="H8" s="36">
        <v>0.0</v>
      </c>
      <c r="I8" s="28">
        <v>0.0</v>
      </c>
      <c r="J8" s="37">
        <f t="shared" si="2"/>
        <v>0</v>
      </c>
      <c r="K8" s="36">
        <v>0.0</v>
      </c>
      <c r="L8" s="28">
        <v>0.0</v>
      </c>
      <c r="M8" s="37">
        <f t="shared" si="3"/>
        <v>0</v>
      </c>
      <c r="N8" s="36">
        <v>0.0</v>
      </c>
      <c r="O8" s="36">
        <v>0.0</v>
      </c>
      <c r="P8" s="47">
        <f t="shared" si="4"/>
        <v>0</v>
      </c>
      <c r="S8" s="28" t="s">
        <v>86</v>
      </c>
      <c r="T8" s="49">
        <v>6.0</v>
      </c>
      <c r="V8" s="50" t="s">
        <v>90</v>
      </c>
      <c r="W8" s="51">
        <v>6.0</v>
      </c>
      <c r="X8" s="36">
        <v>8.0</v>
      </c>
    </row>
    <row r="9">
      <c r="B9" s="52"/>
      <c r="C9" s="28" t="s">
        <v>93</v>
      </c>
      <c r="E9" s="36">
        <v>0.0</v>
      </c>
      <c r="F9" s="28">
        <v>0.0</v>
      </c>
      <c r="G9" s="37">
        <f t="shared" si="1"/>
        <v>0</v>
      </c>
      <c r="H9" s="36">
        <v>0.0</v>
      </c>
      <c r="I9" s="28">
        <v>0.0</v>
      </c>
      <c r="J9" s="37">
        <f t="shared" si="2"/>
        <v>0</v>
      </c>
      <c r="K9" s="36">
        <v>0.0</v>
      </c>
      <c r="L9" s="28">
        <v>0.0</v>
      </c>
      <c r="M9" s="37">
        <f t="shared" si="3"/>
        <v>0</v>
      </c>
      <c r="N9" s="36">
        <v>1.0</v>
      </c>
      <c r="O9" s="36">
        <v>1.0</v>
      </c>
      <c r="P9" s="47">
        <f t="shared" si="4"/>
        <v>5</v>
      </c>
      <c r="S9" s="28" t="s">
        <v>93</v>
      </c>
      <c r="T9" s="49">
        <v>5.0</v>
      </c>
      <c r="V9" s="50" t="s">
        <v>95</v>
      </c>
      <c r="W9" s="51">
        <v>3.0</v>
      </c>
      <c r="X9" s="36">
        <v>5.0</v>
      </c>
    </row>
    <row r="10">
      <c r="B10" s="59" t="s">
        <v>97</v>
      </c>
      <c r="C10" s="28" t="s">
        <v>98</v>
      </c>
      <c r="E10" s="36">
        <v>1.0</v>
      </c>
      <c r="F10" s="28">
        <v>1.0</v>
      </c>
      <c r="G10" s="37">
        <f t="shared" si="1"/>
        <v>3</v>
      </c>
      <c r="H10" s="36">
        <v>1.0</v>
      </c>
      <c r="I10" s="28">
        <v>1.0</v>
      </c>
      <c r="J10" s="37">
        <f t="shared" si="2"/>
        <v>3</v>
      </c>
      <c r="K10" s="36">
        <v>1.0</v>
      </c>
      <c r="L10" s="28">
        <v>2.0</v>
      </c>
      <c r="M10" s="37">
        <f t="shared" si="3"/>
        <v>6</v>
      </c>
      <c r="N10" s="36">
        <v>1.0</v>
      </c>
      <c r="O10" s="36">
        <v>2.0</v>
      </c>
      <c r="P10" s="47">
        <f t="shared" si="4"/>
        <v>6</v>
      </c>
      <c r="S10" s="28" t="s">
        <v>98</v>
      </c>
      <c r="T10" s="49">
        <v>3.0</v>
      </c>
      <c r="V10" s="50" t="s">
        <v>101</v>
      </c>
      <c r="W10" s="51">
        <v>1.0</v>
      </c>
      <c r="X10" s="36">
        <v>3.0</v>
      </c>
    </row>
    <row r="11">
      <c r="B11" s="59" t="s">
        <v>102</v>
      </c>
      <c r="C11" s="28" t="s">
        <v>103</v>
      </c>
      <c r="E11" s="36">
        <v>0.0</v>
      </c>
      <c r="F11" s="28">
        <v>0.0</v>
      </c>
      <c r="G11" s="37">
        <f t="shared" si="1"/>
        <v>0</v>
      </c>
      <c r="H11" s="36">
        <v>0.0</v>
      </c>
      <c r="I11" s="28">
        <v>0.0</v>
      </c>
      <c r="J11" s="37">
        <f t="shared" si="2"/>
        <v>0</v>
      </c>
      <c r="K11" s="36">
        <v>0.0</v>
      </c>
      <c r="L11" s="28">
        <v>0.0</v>
      </c>
      <c r="M11" s="37">
        <f t="shared" si="3"/>
        <v>0</v>
      </c>
      <c r="N11" s="36">
        <v>0.0</v>
      </c>
      <c r="O11" s="36">
        <v>0.0</v>
      </c>
      <c r="P11" s="47">
        <f t="shared" si="4"/>
        <v>0</v>
      </c>
      <c r="S11" s="28" t="s">
        <v>103</v>
      </c>
      <c r="T11" s="49">
        <v>1.0</v>
      </c>
      <c r="V11" s="66" t="s">
        <v>108</v>
      </c>
      <c r="W11" s="67">
        <v>0.0</v>
      </c>
      <c r="X11" s="57">
        <v>2.0</v>
      </c>
    </row>
    <row r="12">
      <c r="B12" s="27"/>
      <c r="C12" s="68" t="s">
        <v>110</v>
      </c>
      <c r="D12" s="69"/>
      <c r="E12" s="36">
        <v>0.0</v>
      </c>
      <c r="F12" s="28">
        <v>0.0</v>
      </c>
      <c r="G12" s="37">
        <f t="shared" si="1"/>
        <v>0</v>
      </c>
      <c r="H12" s="36">
        <v>1.0</v>
      </c>
      <c r="I12" s="28">
        <v>1.0</v>
      </c>
      <c r="J12" s="37">
        <f t="shared" si="2"/>
        <v>0.5</v>
      </c>
      <c r="K12" s="36">
        <v>1.0</v>
      </c>
      <c r="L12" s="28">
        <v>1.0</v>
      </c>
      <c r="M12" s="37">
        <f t="shared" si="3"/>
        <v>0.5</v>
      </c>
      <c r="N12" s="36">
        <v>1.0</v>
      </c>
      <c r="O12" s="36">
        <v>1.0</v>
      </c>
      <c r="P12" s="47">
        <f t="shared" si="4"/>
        <v>0.5</v>
      </c>
      <c r="S12" s="68" t="s">
        <v>110</v>
      </c>
      <c r="T12" s="72">
        <v>0.5</v>
      </c>
    </row>
    <row r="13">
      <c r="E13" s="73"/>
      <c r="F13" s="21" t="s">
        <v>117</v>
      </c>
      <c r="G13" s="65">
        <f>SUM(G6:G12)</f>
        <v>6</v>
      </c>
      <c r="H13" s="76"/>
      <c r="I13" s="21" t="s">
        <v>123</v>
      </c>
      <c r="J13" s="65">
        <f>SUM(J6:J12)</f>
        <v>6.5</v>
      </c>
      <c r="K13" s="76"/>
      <c r="L13" s="21" t="s">
        <v>128</v>
      </c>
      <c r="M13" s="65">
        <f>SUM(M6:M12)</f>
        <v>9.5</v>
      </c>
      <c r="N13" s="73"/>
      <c r="O13" s="21" t="s">
        <v>133</v>
      </c>
      <c r="P13" s="65">
        <f>SUM(P6:P12)</f>
        <v>14.5</v>
      </c>
      <c r="S13" s="71"/>
    </row>
    <row r="14">
      <c r="F14" s="21" t="s">
        <v>141</v>
      </c>
      <c r="G14" s="31">
        <f>IF(AND(AD!C8="T",G13&lt;$W$6),0,IF(AND(AD!C8="T",G13&gt;$X$6),3,IF(AND(AD!C8="AS",G13&lt;$W$7),0,IF(AND(AD!C8="AS",G13&gt;$X$7),3,IF(AND(AD!C8="AJ",G13&lt;$W$8),0,IF(AND(AD!C8="AJ",G13&gt;$X$8),3,IF(AND(AD!C8="JTP",G13&lt;$W$9),0,IF(AND(AD!C8="JTP",G13&gt;$X$9),3,IF(AND(AD!C8="AY1",G13&lt;$W$10),0,IF(AND(AD!C8="AY1",G13&gt;$X$10),3,IF(AND(AD!C8="AY2",G13=0),0,IF(AND(AD!C8="AY2",G13&gt;1),3,IF(AND(AD!C8="AY2",G13&lt;1),0,1)))))))))))))</f>
        <v>1</v>
      </c>
      <c r="I14" s="21" t="s">
        <v>172</v>
      </c>
      <c r="J14" s="31">
        <f>IF(AND(AD!C9="T",J13&lt;$W$6),0,IF(AND(AD!C9="T",J13&gt;$X$6),3,IF(AND(AD!C9="AS",J13&lt;$W$7),0,IF(AND(AD!C9="AS",J13&gt;$X$7),3,IF(AND(AD!C9="AJ",J13&lt;$W$8),0,IF(AND(AD!C9="AJ",J13&gt;$X$8),3,IF(AND(AD!C9="JTP",J13&lt;$W$9),0,IF(AND(AD!C98="JTP",J13&gt;$X$9),3,IF(AND(AD!C9="AY1",J13&lt;$W$10),0,IF(AND(AD!C9="AY1",J13&gt;$X$10),3,IF(AND(AD!C98="AY2",J13=0),0,IF(AND(AD!C9="AY2",J13&gt;1),3,IF(AND(AD!C9="AY2",J13&lt;1),0,1)))))))))))))</f>
        <v>1</v>
      </c>
      <c r="L14" s="21" t="s">
        <v>193</v>
      </c>
      <c r="M14" s="31">
        <f>IF(AND(AD!C10="T",M13&lt;$W$6),0,IF(AND(AD!C10="T",M13&gt;$X$6),3,IF(AND(AD!C10="AS",M13&lt;$W$7),0,IF(AND(AD!C10="AS",M13&gt;$X$7),3,IF(AND(AD!C10="AJ",M13&lt;$W$8),0,IF(AND(AD!C10="AJ",M13&gt;$X$8),3,IF(AND(AD!C10="JTP",M13&lt;$W$9),0,IF(AND(AD!C10="JTP",M13&gt;$X$9),3,IF(AND(AD!C10="AY1",M13&lt;$W$10),0,IF(AND(AD!C10="AY1",M13&gt;$X$10),3,IF(AND(AD!C10="AY2",M13=0),0,IF(AND(AD!C10="AY2",M13&gt;1),3,IF(AND(AD!C10="AY2",M13&lt;1),0,1)))))))))))))</f>
        <v>3</v>
      </c>
      <c r="O14" s="21" t="s">
        <v>207</v>
      </c>
      <c r="P14" s="31">
        <f>IF(AND(AD!C11="T",P13&lt;$W$6),0,IF(AND(AD!C11="T",P13&gt;$X$6),3,IF(AND(AD!C11="AS",P13&lt;$W$7),0,IF(AND(AD!C11="AS",P13&gt;$X$7),3,IF(AND(AD!C11="AJ",P13&lt;$W$8),0,IF(AND(AD!C11="AJ",P13&gt;$X$8),3,IF(AND(AD!C11="JTP",P13&lt;$W$9),0,IF(AND(AD!C11="JTP",P13&gt;$X$9),3,IF(AND(AD!C11="AY1",P13&lt;$W$10),0,IF(AND(AD!C11="AY1",P13&gt;$X$10),3,IF(AND(AD!C11="AY2",P13=0),0,IF(AND(AD!C11="AY2",P13&gt;1),3,IF(AND(AD!C11="AY2",P13&lt;1),0,1)))))))))))))</f>
        <v>3</v>
      </c>
      <c r="S14" s="71"/>
    </row>
    <row r="15">
      <c r="S15" s="78" t="s">
        <v>213</v>
      </c>
    </row>
    <row r="16">
      <c r="B16" s="1" t="s">
        <v>214</v>
      </c>
      <c r="S16" s="21" t="s">
        <v>215</v>
      </c>
      <c r="T16" s="21" t="s">
        <v>216</v>
      </c>
    </row>
    <row r="17" ht="17.25" customHeight="1">
      <c r="B17" s="1" t="s">
        <v>217</v>
      </c>
      <c r="S17" s="31" t="s">
        <v>218</v>
      </c>
      <c r="T17" s="31">
        <v>0.0</v>
      </c>
    </row>
    <row r="18">
      <c r="S18" s="31" t="s">
        <v>219</v>
      </c>
      <c r="T18" s="31">
        <v>1.0</v>
      </c>
    </row>
    <row r="19">
      <c r="S19" s="31" t="s">
        <v>221</v>
      </c>
      <c r="T19" s="3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7:D7"/>
    <mergeCell ref="C8:D8"/>
    <mergeCell ref="C9:D9"/>
    <mergeCell ref="C10:D10"/>
    <mergeCell ref="C11:D11"/>
    <mergeCell ref="C12:D12"/>
    <mergeCell ref="E3:P3"/>
    <mergeCell ref="E4:G4"/>
    <mergeCell ref="H4:J4"/>
    <mergeCell ref="K4:M4"/>
    <mergeCell ref="N4:P4"/>
    <mergeCell ref="B5:D5"/>
    <mergeCell ref="C6:D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.0"/>
    <col customWidth="1" min="2" max="2" width="8.2"/>
    <col customWidth="1" min="3" max="3" width="15.2"/>
    <col customWidth="1" min="4" max="4" width="15.6"/>
    <col customWidth="1" min="5" max="5" width="10.2"/>
    <col customWidth="1" min="6" max="6" width="10.6"/>
    <col customWidth="1" min="7" max="7" width="10.2"/>
    <col customWidth="1" min="8" max="8" width="8.2"/>
    <col customWidth="1" min="9" max="10" width="9.9"/>
    <col customWidth="1" min="11" max="11" width="10.8"/>
    <col customWidth="1" min="12" max="12" width="10.9"/>
    <col customWidth="1" min="13" max="14" width="9.3"/>
    <col customWidth="1" min="15" max="15" width="9.0"/>
    <col customWidth="1" min="16" max="16" width="6.8"/>
    <col customWidth="1" min="17" max="17" width="10.3"/>
    <col customWidth="1" min="18" max="18" width="39.2"/>
    <col customWidth="1" min="19" max="19" width="18.9"/>
    <col customWidth="1" min="20" max="26" width="10.5"/>
  </cols>
  <sheetData>
    <row r="1">
      <c r="B1" s="1" t="s">
        <v>7</v>
      </c>
      <c r="C1" s="1" t="s">
        <v>9</v>
      </c>
    </row>
    <row r="3">
      <c r="B3" s="8" t="s">
        <v>12</v>
      </c>
      <c r="C3" s="11"/>
      <c r="D3" s="11"/>
      <c r="E3" s="11"/>
      <c r="F3" s="11"/>
      <c r="G3" s="11"/>
      <c r="H3" s="13"/>
      <c r="R3" s="1" t="s">
        <v>19</v>
      </c>
    </row>
    <row r="4">
      <c r="B4" s="17" t="s">
        <v>4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29</v>
      </c>
      <c r="H4" s="21" t="s">
        <v>30</v>
      </c>
      <c r="I4" s="21" t="s">
        <v>34</v>
      </c>
      <c r="J4" s="21" t="s">
        <v>38</v>
      </c>
      <c r="K4" s="21" t="s">
        <v>40</v>
      </c>
      <c r="L4" s="21" t="s">
        <v>42</v>
      </c>
      <c r="M4" s="21" t="s">
        <v>45</v>
      </c>
      <c r="N4" s="21" t="s">
        <v>50</v>
      </c>
      <c r="O4" s="21" t="s">
        <v>52</v>
      </c>
      <c r="P4" s="21" t="s">
        <v>56</v>
      </c>
      <c r="R4" s="26" t="s">
        <v>60</v>
      </c>
      <c r="S4" s="7"/>
      <c r="T4" s="21" t="s">
        <v>65</v>
      </c>
    </row>
    <row r="5">
      <c r="B5" s="30">
        <v>1.0</v>
      </c>
      <c r="C5" s="30" t="s">
        <v>70</v>
      </c>
      <c r="D5" s="30" t="s">
        <v>72</v>
      </c>
      <c r="E5" s="30" t="s">
        <v>74</v>
      </c>
      <c r="F5" s="34">
        <v>44481.0</v>
      </c>
      <c r="G5" s="30">
        <v>1.0</v>
      </c>
      <c r="H5" s="30">
        <v>0.0</v>
      </c>
      <c r="I5" s="30">
        <v>1.0</v>
      </c>
      <c r="J5" s="30">
        <v>1.0</v>
      </c>
      <c r="K5" s="30">
        <v>0.0</v>
      </c>
      <c r="L5" s="30">
        <v>30.0</v>
      </c>
      <c r="M5" s="47">
        <f t="shared" ref="M5:M7" si="1">IF(AND(G5=1,J5=1),L5/$T$5,IF(AND(G5=1,I5=1),L5/$T$6,IF(AND(H5=1,J5=1),L5/$T$7,IF(AND(H5=1,I5=1),L5/$T$8,IF(AND(K5=1,J5=1), L5/$T$9,0)))))</f>
        <v>1.2</v>
      </c>
      <c r="N5" s="36">
        <v>0.0</v>
      </c>
      <c r="O5" s="36">
        <v>0.0</v>
      </c>
      <c r="P5" s="47">
        <f t="shared" ref="P5:P7" si="2">M5+IF(N5=1,$T$14,0)+IF(O5=1,$T$15,0)</f>
        <v>1.2</v>
      </c>
      <c r="R5" s="33" t="s">
        <v>29</v>
      </c>
      <c r="S5" s="33" t="s">
        <v>87</v>
      </c>
      <c r="T5" s="31">
        <v>25.0</v>
      </c>
    </row>
    <row r="6">
      <c r="B6" s="36">
        <v>1.0</v>
      </c>
      <c r="C6" s="36" t="s">
        <v>88</v>
      </c>
      <c r="D6" s="36" t="s">
        <v>72</v>
      </c>
      <c r="E6" s="36" t="s">
        <v>74</v>
      </c>
      <c r="F6" s="53">
        <v>44482.0</v>
      </c>
      <c r="G6" s="36">
        <v>1.0</v>
      </c>
      <c r="H6" s="36">
        <v>0.0</v>
      </c>
      <c r="I6" s="36">
        <v>1.0</v>
      </c>
      <c r="J6" s="36">
        <v>1.0</v>
      </c>
      <c r="K6" s="36">
        <v>0.0</v>
      </c>
      <c r="L6" s="36">
        <v>25.0</v>
      </c>
      <c r="M6" s="47">
        <f t="shared" si="1"/>
        <v>1</v>
      </c>
      <c r="N6" s="36">
        <v>0.0</v>
      </c>
      <c r="O6" s="36">
        <v>0.0</v>
      </c>
      <c r="P6" s="47">
        <f t="shared" si="2"/>
        <v>1</v>
      </c>
      <c r="R6" s="55"/>
      <c r="S6" s="31" t="s">
        <v>34</v>
      </c>
      <c r="T6" s="31">
        <v>50.0</v>
      </c>
    </row>
    <row r="7">
      <c r="B7" s="57">
        <v>1.0</v>
      </c>
      <c r="C7" s="57" t="s">
        <v>94</v>
      </c>
      <c r="D7" s="57" t="s">
        <v>72</v>
      </c>
      <c r="E7" s="57" t="s">
        <v>74</v>
      </c>
      <c r="F7" s="60">
        <v>44482.0</v>
      </c>
      <c r="G7" s="57">
        <v>1.0</v>
      </c>
      <c r="H7" s="57">
        <v>0.0</v>
      </c>
      <c r="I7" s="57">
        <v>1.0</v>
      </c>
      <c r="J7" s="57">
        <v>0.0</v>
      </c>
      <c r="K7" s="57">
        <v>0.0</v>
      </c>
      <c r="L7" s="57">
        <v>30.0</v>
      </c>
      <c r="M7" s="61">
        <f t="shared" si="1"/>
        <v>0.6</v>
      </c>
      <c r="N7" s="57">
        <v>0.0</v>
      </c>
      <c r="O7" s="36">
        <v>0.0</v>
      </c>
      <c r="P7" s="47">
        <f t="shared" si="2"/>
        <v>0.6</v>
      </c>
      <c r="R7" s="62" t="s">
        <v>100</v>
      </c>
      <c r="S7" s="33" t="s">
        <v>87</v>
      </c>
      <c r="T7" s="31">
        <v>25.0</v>
      </c>
    </row>
    <row r="8">
      <c r="O8" s="21" t="s">
        <v>104</v>
      </c>
      <c r="P8" s="65">
        <f>SUM(P5:P7)</f>
        <v>2.8</v>
      </c>
      <c r="R8" s="62"/>
      <c r="S8" s="31" t="s">
        <v>34</v>
      </c>
      <c r="T8" s="31">
        <v>50.0</v>
      </c>
    </row>
    <row r="9">
      <c r="O9" s="21" t="s">
        <v>107</v>
      </c>
      <c r="P9" s="31">
        <f>IF(P8&gt;5, 3,IF(P8&gt;0,1,0))</f>
        <v>1</v>
      </c>
      <c r="R9" s="32" t="s">
        <v>109</v>
      </c>
      <c r="S9" s="31" t="s">
        <v>38</v>
      </c>
      <c r="T9" s="31">
        <v>25.0</v>
      </c>
    </row>
    <row r="10">
      <c r="R10" s="70"/>
      <c r="S10" s="71"/>
      <c r="T10" s="29"/>
    </row>
    <row r="11">
      <c r="B11" s="8" t="s">
        <v>113</v>
      </c>
      <c r="C11" s="11"/>
      <c r="D11" s="11"/>
      <c r="E11" s="11"/>
      <c r="F11" s="11"/>
      <c r="G11" s="11"/>
      <c r="H11" s="13"/>
      <c r="R11" s="70"/>
      <c r="S11" s="71"/>
      <c r="T11" s="29"/>
    </row>
    <row r="12">
      <c r="B12" s="17" t="s">
        <v>4</v>
      </c>
      <c r="C12" s="5" t="s">
        <v>24</v>
      </c>
      <c r="D12" s="5" t="s">
        <v>25</v>
      </c>
      <c r="E12" s="5" t="s">
        <v>26</v>
      </c>
      <c r="F12" s="5" t="s">
        <v>27</v>
      </c>
      <c r="G12" s="5" t="s">
        <v>29</v>
      </c>
      <c r="H12" s="21" t="s">
        <v>30</v>
      </c>
      <c r="I12" s="21" t="s">
        <v>34</v>
      </c>
      <c r="J12" s="21" t="s">
        <v>38</v>
      </c>
      <c r="K12" s="21" t="s">
        <v>40</v>
      </c>
      <c r="L12" s="21" t="s">
        <v>42</v>
      </c>
      <c r="M12" s="21" t="s">
        <v>126</v>
      </c>
      <c r="N12" s="21" t="s">
        <v>50</v>
      </c>
      <c r="O12" s="21" t="s">
        <v>52</v>
      </c>
      <c r="P12" s="21" t="s">
        <v>131</v>
      </c>
      <c r="R12" s="1" t="s">
        <v>132</v>
      </c>
      <c r="S12" s="71"/>
      <c r="T12" s="29"/>
    </row>
    <row r="13">
      <c r="B13" s="30">
        <v>2.0</v>
      </c>
      <c r="C13" s="30" t="s">
        <v>135</v>
      </c>
      <c r="D13" s="30" t="s">
        <v>137</v>
      </c>
      <c r="E13" s="30" t="s">
        <v>138</v>
      </c>
      <c r="F13" s="34">
        <v>44656.0</v>
      </c>
      <c r="G13" s="30">
        <v>0.0</v>
      </c>
      <c r="H13" s="30">
        <v>1.0</v>
      </c>
      <c r="I13" s="30">
        <v>0.0</v>
      </c>
      <c r="J13" s="30">
        <v>1.0</v>
      </c>
      <c r="K13" s="30">
        <v>0.0</v>
      </c>
      <c r="L13" s="30">
        <v>30.0</v>
      </c>
      <c r="M13" s="47">
        <f t="shared" ref="M13:M15" si="3">IF(AND(G13=1,J13=1),L13/$T$5,IF(AND(G13=1,I13=1),L13/$T$6,IF(AND(H13=1,J13=1),L13/$T$7,IF(AND(H13=1,I13=1),L13/$T$8,IF(AND(K13=1,J13=1), L13/$T$9,0)))))</f>
        <v>1.2</v>
      </c>
      <c r="N13" s="36">
        <v>0.0</v>
      </c>
      <c r="O13" s="36">
        <v>0.0</v>
      </c>
      <c r="P13" s="47">
        <f t="shared" ref="P13:P15" si="4">M13+IF(N13=1,$T$14,0)+IF(O13=1,$T$15,0)</f>
        <v>1.2</v>
      </c>
      <c r="R13" s="26" t="s">
        <v>165</v>
      </c>
      <c r="S13" s="7"/>
      <c r="T13" s="84" t="s">
        <v>168</v>
      </c>
    </row>
    <row r="14">
      <c r="B14" s="36">
        <v>2.0</v>
      </c>
      <c r="C14" s="36" t="s">
        <v>170</v>
      </c>
      <c r="D14" s="36" t="s">
        <v>137</v>
      </c>
      <c r="E14" s="36" t="s">
        <v>171</v>
      </c>
      <c r="F14" s="53">
        <v>44676.0</v>
      </c>
      <c r="G14" s="36">
        <v>0.0</v>
      </c>
      <c r="H14" s="36">
        <v>1.0</v>
      </c>
      <c r="I14" s="36">
        <v>1.0</v>
      </c>
      <c r="J14" s="36">
        <v>0.0</v>
      </c>
      <c r="K14" s="36">
        <v>0.0</v>
      </c>
      <c r="L14" s="36">
        <v>25.0</v>
      </c>
      <c r="M14" s="47">
        <f t="shared" si="3"/>
        <v>0.5</v>
      </c>
      <c r="N14" s="36">
        <v>0.0</v>
      </c>
      <c r="O14" s="36">
        <v>0.0</v>
      </c>
      <c r="P14" s="47">
        <f t="shared" si="4"/>
        <v>0.5</v>
      </c>
      <c r="R14" s="62" t="s">
        <v>174</v>
      </c>
      <c r="S14" s="6"/>
      <c r="T14" s="65">
        <v>5.0</v>
      </c>
    </row>
    <row r="15">
      <c r="B15" s="57">
        <v>2.0</v>
      </c>
      <c r="C15" s="57" t="s">
        <v>176</v>
      </c>
      <c r="D15" s="57" t="s">
        <v>178</v>
      </c>
      <c r="E15" s="57" t="s">
        <v>138</v>
      </c>
      <c r="F15" s="60">
        <v>44668.0</v>
      </c>
      <c r="G15" s="57">
        <v>0.0</v>
      </c>
      <c r="H15" s="57">
        <v>0.0</v>
      </c>
      <c r="I15" s="57">
        <v>0.0</v>
      </c>
      <c r="J15" s="57">
        <v>0.0</v>
      </c>
      <c r="K15" s="57">
        <v>0.0</v>
      </c>
      <c r="L15" s="57">
        <v>0.0</v>
      </c>
      <c r="M15" s="61">
        <f t="shared" si="3"/>
        <v>0</v>
      </c>
      <c r="N15" s="57">
        <v>0.0</v>
      </c>
      <c r="O15" s="36">
        <v>0.0</v>
      </c>
      <c r="P15" s="47">
        <f t="shared" si="4"/>
        <v>0</v>
      </c>
      <c r="R15" s="62" t="s">
        <v>52</v>
      </c>
      <c r="S15" s="6"/>
      <c r="T15" s="31">
        <v>0.5</v>
      </c>
    </row>
    <row r="16">
      <c r="O16" s="21" t="s">
        <v>185</v>
      </c>
      <c r="P16" s="65">
        <f>SUM(P13:P15)</f>
        <v>1.7</v>
      </c>
      <c r="R16" s="70"/>
      <c r="S16" s="71"/>
      <c r="T16" s="29"/>
    </row>
    <row r="17">
      <c r="O17" s="21" t="s">
        <v>190</v>
      </c>
      <c r="P17" s="31">
        <f>IF(P16&gt;5, 3,IF(P16&gt;0,1,0))</f>
        <v>1</v>
      </c>
      <c r="R17" s="70"/>
      <c r="S17" s="71"/>
      <c r="T17" s="29"/>
    </row>
    <row r="18">
      <c r="R18" s="78" t="s">
        <v>199</v>
      </c>
      <c r="S18" s="70"/>
    </row>
    <row r="19">
      <c r="B19" s="8" t="s">
        <v>201</v>
      </c>
      <c r="C19" s="11"/>
      <c r="D19" s="11"/>
      <c r="E19" s="11"/>
      <c r="F19" s="11"/>
      <c r="G19" s="11"/>
      <c r="H19" s="13"/>
      <c r="R19" s="21" t="s">
        <v>202</v>
      </c>
      <c r="S19" s="21" t="s">
        <v>203</v>
      </c>
    </row>
    <row r="20">
      <c r="B20" s="17" t="s">
        <v>4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29</v>
      </c>
      <c r="H20" s="21" t="s">
        <v>30</v>
      </c>
      <c r="I20" s="21" t="s">
        <v>34</v>
      </c>
      <c r="J20" s="21" t="s">
        <v>38</v>
      </c>
      <c r="K20" s="21" t="s">
        <v>40</v>
      </c>
      <c r="L20" s="21" t="s">
        <v>42</v>
      </c>
      <c r="M20" s="21" t="s">
        <v>208</v>
      </c>
      <c r="N20" s="21" t="s">
        <v>50</v>
      </c>
      <c r="O20" s="21" t="s">
        <v>52</v>
      </c>
      <c r="P20" s="21" t="s">
        <v>210</v>
      </c>
      <c r="R20" s="31">
        <v>0.0</v>
      </c>
      <c r="S20" s="31">
        <v>0.0</v>
      </c>
    </row>
    <row r="21" ht="15.75" customHeight="1">
      <c r="B21" s="30">
        <v>3.0</v>
      </c>
      <c r="C21" s="30" t="s">
        <v>211</v>
      </c>
      <c r="D21" s="30" t="s">
        <v>137</v>
      </c>
      <c r="E21" s="30" t="s">
        <v>138</v>
      </c>
      <c r="F21" s="34">
        <v>44988.0</v>
      </c>
      <c r="G21" s="30">
        <v>0.0</v>
      </c>
      <c r="H21" s="30">
        <v>1.0</v>
      </c>
      <c r="I21" s="30">
        <v>0.0</v>
      </c>
      <c r="J21" s="30">
        <v>1.0</v>
      </c>
      <c r="K21" s="30">
        <v>0.0</v>
      </c>
      <c r="L21" s="30">
        <v>30.0</v>
      </c>
      <c r="M21" s="47">
        <f t="shared" ref="M21:M23" si="5">IF(AND(G21=1,J21=1),L21/$T$5,IF(AND(G21=1,I21=1),L21/$T$6,IF(AND(H21=1,J21=1),L21/$T$7,IF(AND(H21=1,I21=1),L21/$T$8,IF(AND(K21=1,J21=1), L21/$T$9,0)))))</f>
        <v>1.2</v>
      </c>
      <c r="N21" s="36">
        <v>0.0</v>
      </c>
      <c r="O21" s="36">
        <v>0.0</v>
      </c>
      <c r="P21" s="47">
        <f t="shared" ref="P21:P23" si="6">M21+IF(N21=1,$T$14,0)+IF(O21=1,$T$15,0)</f>
        <v>1.2</v>
      </c>
      <c r="R21" s="83" t="s">
        <v>150</v>
      </c>
      <c r="S21" s="31">
        <v>1.0</v>
      </c>
    </row>
    <row r="22" ht="15.75" customHeight="1">
      <c r="B22" s="36">
        <v>3.0</v>
      </c>
      <c r="C22" s="36" t="s">
        <v>220</v>
      </c>
      <c r="D22" s="36" t="s">
        <v>222</v>
      </c>
      <c r="E22" s="36"/>
      <c r="F22" s="53">
        <v>45051.0</v>
      </c>
      <c r="G22" s="36">
        <v>0.0</v>
      </c>
      <c r="H22" s="36">
        <v>0.0</v>
      </c>
      <c r="I22" s="36">
        <v>0.0</v>
      </c>
      <c r="J22" s="36">
        <v>1.0</v>
      </c>
      <c r="K22" s="36">
        <v>1.0</v>
      </c>
      <c r="L22" s="36">
        <v>30.0</v>
      </c>
      <c r="M22" s="47">
        <f t="shared" si="5"/>
        <v>1.2</v>
      </c>
      <c r="N22" s="36">
        <v>0.0</v>
      </c>
      <c r="O22" s="36">
        <v>0.0</v>
      </c>
      <c r="P22" s="47">
        <f t="shared" si="6"/>
        <v>1.2</v>
      </c>
      <c r="R22" s="31" t="s">
        <v>162</v>
      </c>
      <c r="S22" s="31">
        <v>3.0</v>
      </c>
    </row>
    <row r="23" ht="15.75" customHeight="1">
      <c r="B23" s="57">
        <v>3.0</v>
      </c>
      <c r="C23" s="57"/>
      <c r="D23" s="57"/>
      <c r="E23" s="57"/>
      <c r="F23" s="60"/>
      <c r="G23" s="57">
        <v>0.0</v>
      </c>
      <c r="H23" s="57">
        <v>0.0</v>
      </c>
      <c r="I23" s="57">
        <v>0.0</v>
      </c>
      <c r="J23" s="57">
        <v>0.0</v>
      </c>
      <c r="K23" s="57">
        <v>0.0</v>
      </c>
      <c r="L23" s="57">
        <v>0.0</v>
      </c>
      <c r="M23" s="61">
        <f t="shared" si="5"/>
        <v>0</v>
      </c>
      <c r="N23" s="57">
        <v>0.0</v>
      </c>
      <c r="O23" s="36">
        <v>0.0</v>
      </c>
      <c r="P23" s="47">
        <f t="shared" si="6"/>
        <v>0</v>
      </c>
    </row>
    <row r="24" ht="15.75" customHeight="1">
      <c r="O24" s="21" t="s">
        <v>224</v>
      </c>
      <c r="P24" s="65">
        <f>SUM(P21:P23)</f>
        <v>2.4</v>
      </c>
    </row>
    <row r="25" ht="15.75" customHeight="1">
      <c r="O25" s="21" t="s">
        <v>225</v>
      </c>
      <c r="P25" s="31">
        <f>IF(P24&gt;5, 3,IF(P24&gt;0,1,0))</f>
        <v>1</v>
      </c>
    </row>
    <row r="26" ht="15.75" customHeight="1"/>
    <row r="27" ht="15.75" customHeight="1">
      <c r="B27" s="8" t="s">
        <v>226</v>
      </c>
      <c r="C27" s="11"/>
      <c r="D27" s="11"/>
      <c r="E27" s="11"/>
      <c r="F27" s="11"/>
      <c r="G27" s="11"/>
      <c r="H27" s="13"/>
    </row>
    <row r="28" ht="15.75" customHeight="1">
      <c r="B28" s="17" t="s">
        <v>4</v>
      </c>
      <c r="C28" s="5" t="s">
        <v>24</v>
      </c>
      <c r="D28" s="5" t="s">
        <v>25</v>
      </c>
      <c r="E28" s="5" t="s">
        <v>26</v>
      </c>
      <c r="F28" s="5" t="s">
        <v>27</v>
      </c>
      <c r="G28" s="5" t="s">
        <v>29</v>
      </c>
      <c r="H28" s="21" t="s">
        <v>30</v>
      </c>
      <c r="I28" s="21" t="s">
        <v>34</v>
      </c>
      <c r="J28" s="21" t="s">
        <v>38</v>
      </c>
      <c r="K28" s="21" t="s">
        <v>40</v>
      </c>
      <c r="L28" s="21" t="s">
        <v>42</v>
      </c>
      <c r="M28" s="21" t="s">
        <v>227</v>
      </c>
      <c r="N28" s="21" t="s">
        <v>50</v>
      </c>
      <c r="O28" s="21" t="s">
        <v>52</v>
      </c>
      <c r="P28" s="21" t="s">
        <v>228</v>
      </c>
    </row>
    <row r="29" ht="15.75" customHeight="1">
      <c r="B29" s="30">
        <v>4.0</v>
      </c>
      <c r="C29" s="30" t="s">
        <v>229</v>
      </c>
      <c r="D29" s="30" t="s">
        <v>230</v>
      </c>
      <c r="E29" s="30" t="s">
        <v>138</v>
      </c>
      <c r="F29" s="34">
        <v>45416.0</v>
      </c>
      <c r="G29" s="30">
        <v>1.0</v>
      </c>
      <c r="H29" s="30">
        <v>0.0</v>
      </c>
      <c r="I29" s="30">
        <v>1.0</v>
      </c>
      <c r="J29" s="30">
        <v>1.0</v>
      </c>
      <c r="K29" s="30">
        <v>0.0</v>
      </c>
      <c r="L29" s="47">
        <v>40.0</v>
      </c>
      <c r="M29" s="38">
        <f t="shared" ref="M29:M31" si="7">IF(AND(G29=1,J29=1),L29/$T$5,IF(AND(G29=1,I29=1),L29/$T$6,IF(AND(H29=1,J29=1),L29/$T$7,IF(AND(H29=1,I29=1),L29/$T$8,IF(AND(K29=1,J29=1), L29/$T$9,0)))))</f>
        <v>1.6</v>
      </c>
      <c r="N29" s="36">
        <v>0.0</v>
      </c>
      <c r="O29" s="36">
        <v>0.0</v>
      </c>
      <c r="P29" s="47">
        <f t="shared" ref="P29:P31" si="8">M29+IF(N29=1,$T$14,0)+IF(O29=1,$T$15,0)</f>
        <v>1.6</v>
      </c>
    </row>
    <row r="30" ht="15.75" customHeight="1">
      <c r="B30" s="36">
        <v>4.0</v>
      </c>
      <c r="C30" s="36" t="s">
        <v>234</v>
      </c>
      <c r="D30" s="36" t="s">
        <v>235</v>
      </c>
      <c r="E30" s="36" t="s">
        <v>138</v>
      </c>
      <c r="F30" s="53">
        <v>45448.0</v>
      </c>
      <c r="G30" s="36">
        <v>0.0</v>
      </c>
      <c r="H30" s="36">
        <v>1.0</v>
      </c>
      <c r="I30" s="36">
        <v>1.0</v>
      </c>
      <c r="J30" s="36">
        <v>1.0</v>
      </c>
      <c r="K30" s="36">
        <v>0.0</v>
      </c>
      <c r="L30" s="47">
        <v>20.0</v>
      </c>
      <c r="M30" s="47">
        <f t="shared" si="7"/>
        <v>0.8</v>
      </c>
      <c r="N30" s="36">
        <v>0.0</v>
      </c>
      <c r="O30" s="36">
        <v>0.0</v>
      </c>
      <c r="P30" s="47">
        <f t="shared" si="8"/>
        <v>0.8</v>
      </c>
    </row>
    <row r="31" ht="15.75" customHeight="1">
      <c r="B31" s="57">
        <v>4.0</v>
      </c>
      <c r="C31" s="57"/>
      <c r="D31" s="57"/>
      <c r="E31" s="57"/>
      <c r="F31" s="60"/>
      <c r="G31" s="57">
        <v>0.0</v>
      </c>
      <c r="H31" s="57">
        <v>0.0</v>
      </c>
      <c r="I31" s="57">
        <v>0.0</v>
      </c>
      <c r="J31" s="57">
        <v>0.0</v>
      </c>
      <c r="K31" s="57">
        <v>0.0</v>
      </c>
      <c r="L31" s="61">
        <v>0.0</v>
      </c>
      <c r="M31" s="61">
        <f t="shared" si="7"/>
        <v>0</v>
      </c>
      <c r="N31" s="57">
        <v>0.0</v>
      </c>
      <c r="O31" s="36">
        <v>0.0</v>
      </c>
      <c r="P31" s="47">
        <f t="shared" si="8"/>
        <v>0</v>
      </c>
    </row>
    <row r="32" ht="15.75" customHeight="1">
      <c r="O32" s="21" t="s">
        <v>237</v>
      </c>
      <c r="P32" s="65">
        <f>SUM(P29:P31)</f>
        <v>2.4</v>
      </c>
    </row>
    <row r="33" ht="15.75" customHeight="1">
      <c r="O33" s="21" t="s">
        <v>238</v>
      </c>
      <c r="P33" s="31">
        <f>IF(P32&gt;5, 3,IF(P32&gt;0,1,0))</f>
        <v>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:H3"/>
    <mergeCell ref="R4:S4"/>
    <mergeCell ref="B11:H11"/>
    <mergeCell ref="R13:S13"/>
    <mergeCell ref="R14:S14"/>
    <mergeCell ref="R15:S15"/>
    <mergeCell ref="B19:H19"/>
    <mergeCell ref="B27:H2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.8"/>
    <col customWidth="1" min="2" max="2" width="5.1"/>
    <col customWidth="1" min="3" max="3" width="7.2"/>
    <col customWidth="1" min="4" max="4" width="30.3"/>
    <col customWidth="1" min="5" max="5" width="14.8"/>
    <col customWidth="1" min="6" max="6" width="15.9"/>
    <col customWidth="1" min="7" max="7" width="7.2"/>
    <col customWidth="1" min="8" max="8" width="11.3"/>
    <col customWidth="1" min="9" max="9" width="15.1"/>
    <col customWidth="1" min="10" max="10" width="13.1"/>
    <col customWidth="1" min="11" max="11" width="9.7"/>
    <col customWidth="1" min="12" max="12" width="16.8"/>
    <col customWidth="1" min="13" max="13" width="26.3"/>
    <col customWidth="1" min="14" max="14" width="23.0"/>
    <col customWidth="1" min="15" max="26" width="10.5"/>
  </cols>
  <sheetData>
    <row r="2">
      <c r="B2" s="1" t="s">
        <v>1</v>
      </c>
      <c r="L2" s="1" t="s">
        <v>2</v>
      </c>
    </row>
    <row r="3">
      <c r="B3" s="2" t="s">
        <v>4</v>
      </c>
      <c r="C3" s="2" t="s">
        <v>6</v>
      </c>
      <c r="D3" s="5" t="s">
        <v>8</v>
      </c>
      <c r="E3" s="5" t="s">
        <v>10</v>
      </c>
      <c r="F3" s="5" t="s">
        <v>11</v>
      </c>
      <c r="G3" s="5" t="s">
        <v>13</v>
      </c>
      <c r="H3" s="5" t="s">
        <v>14</v>
      </c>
      <c r="I3" s="9" t="s">
        <v>15</v>
      </c>
      <c r="J3" s="12" t="s">
        <v>16</v>
      </c>
      <c r="K3" s="14" t="s">
        <v>16</v>
      </c>
      <c r="L3" s="15" t="s">
        <v>18</v>
      </c>
      <c r="M3" s="15" t="s">
        <v>21</v>
      </c>
      <c r="N3" s="15" t="s">
        <v>22</v>
      </c>
    </row>
    <row r="4">
      <c r="B4" s="18"/>
      <c r="C4" s="18"/>
      <c r="D4" s="17"/>
      <c r="E4" s="17" t="s">
        <v>32</v>
      </c>
      <c r="F4" s="17" t="s">
        <v>33</v>
      </c>
      <c r="G4" s="18" t="s">
        <v>35</v>
      </c>
      <c r="H4" s="17" t="s">
        <v>36</v>
      </c>
      <c r="I4" s="17" t="s">
        <v>39</v>
      </c>
      <c r="J4" s="12"/>
      <c r="K4" s="14"/>
      <c r="L4" s="23">
        <v>1.0</v>
      </c>
      <c r="M4" s="24" t="s">
        <v>46</v>
      </c>
      <c r="N4" s="23">
        <v>2.0</v>
      </c>
    </row>
    <row r="5">
      <c r="B5" s="20" t="s">
        <v>49</v>
      </c>
      <c r="C5" s="25"/>
      <c r="D5" s="20" t="s">
        <v>53</v>
      </c>
      <c r="E5" s="20" t="s">
        <v>54</v>
      </c>
      <c r="F5" s="20" t="s">
        <v>57</v>
      </c>
      <c r="G5" s="25" t="s">
        <v>58</v>
      </c>
      <c r="H5" s="20" t="s">
        <v>61</v>
      </c>
      <c r="I5" s="27" t="s">
        <v>62</v>
      </c>
      <c r="J5" s="28"/>
      <c r="K5" s="29"/>
      <c r="L5" s="23">
        <v>2.0</v>
      </c>
      <c r="M5" s="24" t="s">
        <v>68</v>
      </c>
      <c r="N5" s="23">
        <v>3.0</v>
      </c>
    </row>
    <row r="6">
      <c r="B6" s="31">
        <v>1.0</v>
      </c>
      <c r="C6" s="31" t="s">
        <v>73</v>
      </c>
      <c r="D6" s="32" t="s">
        <v>76</v>
      </c>
      <c r="E6" s="31">
        <v>2.0</v>
      </c>
      <c r="F6" s="31">
        <f t="shared" ref="F6:F12" si="1">IF(E6=1,$N$4,IF(E6=2,$N$5,IF(E6=3,$N$6,IF(E6=4,$N$7,0))))</f>
        <v>3</v>
      </c>
      <c r="G6" s="31">
        <v>95.0</v>
      </c>
      <c r="H6" s="31">
        <v>190.0</v>
      </c>
      <c r="I6" s="39">
        <f t="shared" ref="I6:I13" si="2">G6/$M$13*H6/$M$14*F6</f>
        <v>6.685185185</v>
      </c>
      <c r="J6" s="41"/>
      <c r="K6" s="41"/>
      <c r="L6" s="23">
        <v>3.0</v>
      </c>
      <c r="M6" s="24" t="s">
        <v>78</v>
      </c>
      <c r="N6" s="23">
        <v>5.0</v>
      </c>
    </row>
    <row r="7">
      <c r="B7" s="31">
        <v>1.0</v>
      </c>
      <c r="C7" s="31" t="s">
        <v>80</v>
      </c>
      <c r="D7" s="45" t="s">
        <v>81</v>
      </c>
      <c r="E7" s="31">
        <v>2.0</v>
      </c>
      <c r="F7" s="31">
        <f t="shared" si="1"/>
        <v>3</v>
      </c>
      <c r="G7" s="31">
        <v>90.0</v>
      </c>
      <c r="H7" s="31">
        <v>48.0</v>
      </c>
      <c r="I7" s="39">
        <f t="shared" si="2"/>
        <v>1.6</v>
      </c>
      <c r="J7" s="41"/>
      <c r="K7" s="41"/>
      <c r="L7" s="42">
        <v>4.0</v>
      </c>
      <c r="M7" s="48" t="s">
        <v>82</v>
      </c>
      <c r="N7" s="42">
        <v>12.0</v>
      </c>
    </row>
    <row r="8">
      <c r="B8" s="31">
        <v>1.0</v>
      </c>
      <c r="C8" s="31" t="s">
        <v>84</v>
      </c>
      <c r="D8" s="45" t="s">
        <v>85</v>
      </c>
      <c r="E8" s="31">
        <v>2.0</v>
      </c>
      <c r="F8" s="31">
        <f t="shared" si="1"/>
        <v>3</v>
      </c>
      <c r="G8" s="31">
        <v>90.0</v>
      </c>
      <c r="H8" s="31">
        <v>73.0</v>
      </c>
      <c r="I8" s="39">
        <f t="shared" si="2"/>
        <v>2.433333333</v>
      </c>
      <c r="J8" s="41"/>
      <c r="K8" s="41"/>
      <c r="L8" s="54"/>
      <c r="M8" s="54" t="s">
        <v>89</v>
      </c>
      <c r="N8" s="54"/>
    </row>
    <row r="9">
      <c r="B9" s="31">
        <v>1.0</v>
      </c>
      <c r="C9" s="31" t="s">
        <v>91</v>
      </c>
      <c r="D9" s="45" t="s">
        <v>92</v>
      </c>
      <c r="E9" s="31">
        <v>2.0</v>
      </c>
      <c r="F9" s="31">
        <f t="shared" si="1"/>
        <v>3</v>
      </c>
      <c r="G9" s="31">
        <v>50.0</v>
      </c>
      <c r="H9" s="31">
        <v>1.0</v>
      </c>
      <c r="I9" s="39">
        <f t="shared" si="2"/>
        <v>0.01851851852</v>
      </c>
      <c r="J9" s="56"/>
      <c r="K9" s="41"/>
      <c r="L9" s="58"/>
      <c r="M9" s="58" t="s">
        <v>96</v>
      </c>
      <c r="N9" s="58"/>
    </row>
    <row r="10">
      <c r="B10" s="31">
        <v>1.0</v>
      </c>
      <c r="C10" s="31" t="s">
        <v>91</v>
      </c>
      <c r="D10" s="45" t="s">
        <v>99</v>
      </c>
      <c r="E10" s="31">
        <v>2.0</v>
      </c>
      <c r="F10" s="31">
        <f t="shared" si="1"/>
        <v>3</v>
      </c>
      <c r="G10" s="31">
        <v>30.0</v>
      </c>
      <c r="H10" s="31">
        <v>45.0</v>
      </c>
      <c r="I10" s="39">
        <f t="shared" si="2"/>
        <v>0.5</v>
      </c>
      <c r="J10" s="41"/>
      <c r="K10" s="41"/>
      <c r="L10" s="63" t="s">
        <v>105</v>
      </c>
      <c r="M10" s="64"/>
      <c r="N10" s="64"/>
    </row>
    <row r="11">
      <c r="B11" s="31">
        <v>1.0</v>
      </c>
      <c r="C11" s="31" t="s">
        <v>73</v>
      </c>
      <c r="D11" s="45" t="s">
        <v>106</v>
      </c>
      <c r="E11" s="31">
        <v>2.0</v>
      </c>
      <c r="F11" s="31">
        <f t="shared" si="1"/>
        <v>3</v>
      </c>
      <c r="G11" s="31">
        <v>50.0</v>
      </c>
      <c r="H11" s="31">
        <v>114.0</v>
      </c>
      <c r="I11" s="39">
        <f t="shared" si="2"/>
        <v>2.111111111</v>
      </c>
      <c r="J11" s="41"/>
      <c r="K11" s="41"/>
      <c r="N11" s="64"/>
    </row>
    <row r="12">
      <c r="B12" s="31">
        <v>1.0</v>
      </c>
      <c r="C12" s="31" t="s">
        <v>84</v>
      </c>
      <c r="D12" s="45" t="s">
        <v>111</v>
      </c>
      <c r="E12" s="31">
        <v>2.0</v>
      </c>
      <c r="F12" s="31">
        <f t="shared" si="1"/>
        <v>3</v>
      </c>
      <c r="G12" s="31">
        <v>60.0</v>
      </c>
      <c r="H12" s="31">
        <v>18.0</v>
      </c>
      <c r="I12" s="39">
        <f t="shared" si="2"/>
        <v>0.4</v>
      </c>
      <c r="J12" s="41"/>
      <c r="K12" s="41"/>
      <c r="L12" s="1" t="s">
        <v>112</v>
      </c>
      <c r="N12" s="64"/>
    </row>
    <row r="13">
      <c r="B13" s="45"/>
      <c r="C13" s="45"/>
      <c r="D13" s="45"/>
      <c r="E13" s="31"/>
      <c r="F13" s="31"/>
      <c r="G13" s="31"/>
      <c r="H13" s="31"/>
      <c r="I13" s="39">
        <f t="shared" si="2"/>
        <v>0</v>
      </c>
      <c r="J13" s="41"/>
      <c r="K13" s="41"/>
      <c r="L13" s="31" t="s">
        <v>114</v>
      </c>
      <c r="M13" s="31">
        <v>90.0</v>
      </c>
    </row>
    <row r="14">
      <c r="H14" s="74" t="s">
        <v>115</v>
      </c>
      <c r="I14" s="39">
        <f>SUM(I6:I13)</f>
        <v>13.74814815</v>
      </c>
      <c r="J14" s="41"/>
      <c r="L14" s="31" t="s">
        <v>122</v>
      </c>
      <c r="M14" s="31">
        <v>90.0</v>
      </c>
    </row>
    <row r="15">
      <c r="H15" s="74" t="s">
        <v>129</v>
      </c>
      <c r="I15" s="31">
        <f>IF(I14&gt;5,3,IF(I14&gt;1,1,0))</f>
        <v>3</v>
      </c>
    </row>
    <row r="16">
      <c r="L16" s="78" t="s">
        <v>139</v>
      </c>
      <c r="M16" s="70"/>
    </row>
    <row r="17">
      <c r="L17" s="21" t="s">
        <v>142</v>
      </c>
      <c r="M17" s="21" t="s">
        <v>143</v>
      </c>
    </row>
    <row r="18">
      <c r="B18" s="1" t="s">
        <v>145</v>
      </c>
      <c r="L18" s="31">
        <v>0.0</v>
      </c>
      <c r="M18" s="31">
        <v>0.0</v>
      </c>
    </row>
    <row r="19">
      <c r="B19" s="2" t="s">
        <v>4</v>
      </c>
      <c r="C19" s="2" t="s">
        <v>6</v>
      </c>
      <c r="D19" s="5" t="s">
        <v>8</v>
      </c>
      <c r="E19" s="5" t="s">
        <v>10</v>
      </c>
      <c r="F19" s="5" t="s">
        <v>11</v>
      </c>
      <c r="G19" s="5" t="s">
        <v>13</v>
      </c>
      <c r="H19" s="5" t="s">
        <v>14</v>
      </c>
      <c r="I19" s="9" t="s">
        <v>15</v>
      </c>
      <c r="J19" s="14" t="s">
        <v>16</v>
      </c>
      <c r="L19" s="83" t="s">
        <v>150</v>
      </c>
      <c r="M19" s="31">
        <v>1.0</v>
      </c>
    </row>
    <row r="20">
      <c r="B20" s="18"/>
      <c r="C20" s="18"/>
      <c r="D20" s="17"/>
      <c r="E20" s="17" t="s">
        <v>32</v>
      </c>
      <c r="F20" s="17" t="s">
        <v>33</v>
      </c>
      <c r="G20" s="18" t="s">
        <v>35</v>
      </c>
      <c r="H20" s="17" t="s">
        <v>36</v>
      </c>
      <c r="I20" s="17" t="s">
        <v>39</v>
      </c>
      <c r="J20" s="14"/>
      <c r="L20" s="31" t="s">
        <v>162</v>
      </c>
      <c r="M20" s="31">
        <v>3.0</v>
      </c>
    </row>
    <row r="21" ht="15.75" customHeight="1">
      <c r="B21" s="20" t="s">
        <v>49</v>
      </c>
      <c r="C21" s="25"/>
      <c r="D21" s="20" t="s">
        <v>53</v>
      </c>
      <c r="E21" s="20" t="s">
        <v>54</v>
      </c>
      <c r="F21" s="20" t="s">
        <v>57</v>
      </c>
      <c r="G21" s="25" t="s">
        <v>58</v>
      </c>
      <c r="H21" s="20" t="s">
        <v>61</v>
      </c>
      <c r="I21" s="27" t="s">
        <v>169</v>
      </c>
    </row>
    <row r="22" ht="15.75" customHeight="1">
      <c r="B22" s="31">
        <v>2.0</v>
      </c>
      <c r="C22" s="31" t="s">
        <v>73</v>
      </c>
      <c r="D22" s="32" t="s">
        <v>76</v>
      </c>
      <c r="E22" s="31">
        <v>2.0</v>
      </c>
      <c r="F22" s="31">
        <f t="shared" ref="F22:F26" si="3">IF(E22=1,$N$4,IF(E22=2,$N$5,IF(E22=3,$N$6,IF(E22=4,$N$7,0))))</f>
        <v>3</v>
      </c>
      <c r="G22" s="31">
        <v>120.0</v>
      </c>
      <c r="H22" s="31">
        <v>180.0</v>
      </c>
      <c r="I22" s="39">
        <f t="shared" ref="I22:I26" si="4">G22/$M$13*H22/$M$14*F22</f>
        <v>8</v>
      </c>
    </row>
    <row r="23" ht="15.75" customHeight="1">
      <c r="B23" s="31">
        <v>2.0</v>
      </c>
      <c r="C23" s="31" t="s">
        <v>80</v>
      </c>
      <c r="D23" s="45" t="s">
        <v>81</v>
      </c>
      <c r="E23" s="31">
        <v>2.0</v>
      </c>
      <c r="F23" s="31">
        <f t="shared" si="3"/>
        <v>3</v>
      </c>
      <c r="G23" s="31">
        <v>100.0</v>
      </c>
      <c r="H23" s="31">
        <v>40.0</v>
      </c>
      <c r="I23" s="39">
        <f t="shared" si="4"/>
        <v>1.481481481</v>
      </c>
    </row>
    <row r="24" ht="15.75" customHeight="1">
      <c r="B24" s="31">
        <v>2.0</v>
      </c>
      <c r="C24" s="31" t="s">
        <v>84</v>
      </c>
      <c r="D24" s="45" t="s">
        <v>85</v>
      </c>
      <c r="E24" s="31">
        <v>2.0</v>
      </c>
      <c r="F24" s="31">
        <f t="shared" si="3"/>
        <v>3</v>
      </c>
      <c r="G24" s="31">
        <v>80.0</v>
      </c>
      <c r="H24" s="31">
        <v>120.0</v>
      </c>
      <c r="I24" s="39">
        <f t="shared" si="4"/>
        <v>3.555555556</v>
      </c>
    </row>
    <row r="25" ht="15.75" customHeight="1">
      <c r="B25" s="31">
        <v>2.0</v>
      </c>
      <c r="C25" s="45"/>
      <c r="D25" s="45" t="s">
        <v>195</v>
      </c>
      <c r="E25" s="31">
        <v>2.0</v>
      </c>
      <c r="F25" s="31">
        <f t="shared" si="3"/>
        <v>3</v>
      </c>
      <c r="G25" s="31">
        <v>6.0</v>
      </c>
      <c r="H25" s="31">
        <v>5.0</v>
      </c>
      <c r="I25" s="39">
        <f t="shared" si="4"/>
        <v>0.01111111111</v>
      </c>
    </row>
    <row r="26" ht="15.75" customHeight="1">
      <c r="B26" s="45"/>
      <c r="C26" s="45"/>
      <c r="D26" s="45"/>
      <c r="E26" s="31">
        <v>0.0</v>
      </c>
      <c r="F26" s="31">
        <f t="shared" si="3"/>
        <v>0</v>
      </c>
      <c r="G26" s="31">
        <v>0.0</v>
      </c>
      <c r="H26" s="31">
        <v>0.0</v>
      </c>
      <c r="I26" s="39">
        <f t="shared" si="4"/>
        <v>0</v>
      </c>
    </row>
    <row r="27" ht="15.75" customHeight="1">
      <c r="H27" s="74" t="s">
        <v>206</v>
      </c>
      <c r="I27" s="39">
        <f>SUM(I22:I26)</f>
        <v>13.04814815</v>
      </c>
    </row>
    <row r="28" ht="15.75" customHeight="1">
      <c r="H28" s="74" t="s">
        <v>209</v>
      </c>
      <c r="I28" s="31">
        <f>IF(I27&gt;5,3,IF(I27&gt;1,1,0))</f>
        <v>3</v>
      </c>
    </row>
    <row r="29" ht="15.75" customHeight="1"/>
    <row r="30" ht="15.75" customHeight="1"/>
    <row r="31" ht="15.75" customHeight="1"/>
    <row r="32" ht="15.75" customHeight="1">
      <c r="B32" s="1" t="s">
        <v>212</v>
      </c>
    </row>
    <row r="33" ht="15.75" customHeight="1">
      <c r="B33" s="2" t="s">
        <v>4</v>
      </c>
      <c r="C33" s="2" t="s">
        <v>6</v>
      </c>
      <c r="D33" s="5" t="s">
        <v>8</v>
      </c>
      <c r="E33" s="5" t="s">
        <v>10</v>
      </c>
      <c r="F33" s="5" t="s">
        <v>11</v>
      </c>
      <c r="G33" s="5" t="s">
        <v>13</v>
      </c>
      <c r="H33" s="5" t="s">
        <v>14</v>
      </c>
      <c r="I33" s="9" t="s">
        <v>15</v>
      </c>
    </row>
    <row r="34" ht="15.75" customHeight="1">
      <c r="B34" s="18"/>
      <c r="C34" s="18"/>
      <c r="D34" s="17"/>
      <c r="E34" s="17" t="s">
        <v>32</v>
      </c>
      <c r="F34" s="17" t="s">
        <v>33</v>
      </c>
      <c r="G34" s="18" t="s">
        <v>35</v>
      </c>
      <c r="H34" s="17" t="s">
        <v>36</v>
      </c>
      <c r="I34" s="17" t="s">
        <v>39</v>
      </c>
    </row>
    <row r="35" ht="15.75" customHeight="1">
      <c r="B35" s="20" t="s">
        <v>49</v>
      </c>
      <c r="C35" s="25"/>
      <c r="D35" s="20" t="s">
        <v>53</v>
      </c>
      <c r="E35" s="20" t="s">
        <v>54</v>
      </c>
      <c r="F35" s="20" t="s">
        <v>57</v>
      </c>
      <c r="G35" s="25" t="s">
        <v>58</v>
      </c>
      <c r="H35" s="20" t="s">
        <v>61</v>
      </c>
      <c r="I35" s="27" t="s">
        <v>223</v>
      </c>
    </row>
    <row r="36" ht="15.75" customHeight="1">
      <c r="B36" s="31">
        <v>3.0</v>
      </c>
      <c r="C36" s="31" t="s">
        <v>73</v>
      </c>
      <c r="D36" s="32" t="s">
        <v>76</v>
      </c>
      <c r="E36" s="31">
        <v>2.0</v>
      </c>
      <c r="F36" s="31">
        <f t="shared" ref="F36:F40" si="5">IF(E36=1,$N$4,IF(E36=2,$N$5,IF(E36=3,$N$6,IF(E36=4,$N$7,0))))</f>
        <v>3</v>
      </c>
      <c r="G36" s="31">
        <v>120.0</v>
      </c>
      <c r="H36" s="31">
        <v>180.0</v>
      </c>
      <c r="I36" s="39">
        <f t="shared" ref="I36:I40" si="6">G36/$M$13*H36/$M$14*F36</f>
        <v>8</v>
      </c>
    </row>
    <row r="37" ht="15.75" customHeight="1">
      <c r="B37" s="31">
        <v>3.0</v>
      </c>
      <c r="C37" s="31" t="s">
        <v>80</v>
      </c>
      <c r="D37" s="45" t="s">
        <v>81</v>
      </c>
      <c r="E37" s="31">
        <v>2.0</v>
      </c>
      <c r="F37" s="31">
        <f t="shared" si="5"/>
        <v>3</v>
      </c>
      <c r="G37" s="31">
        <v>100.0</v>
      </c>
      <c r="H37" s="31">
        <v>40.0</v>
      </c>
      <c r="I37" s="39">
        <f t="shared" si="6"/>
        <v>1.481481481</v>
      </c>
    </row>
    <row r="38" ht="15.75" customHeight="1">
      <c r="B38" s="31">
        <v>3.0</v>
      </c>
      <c r="C38" s="31" t="s">
        <v>84</v>
      </c>
      <c r="D38" s="45" t="s">
        <v>85</v>
      </c>
      <c r="E38" s="31">
        <v>2.0</v>
      </c>
      <c r="F38" s="31">
        <f t="shared" si="5"/>
        <v>3</v>
      </c>
      <c r="G38" s="31">
        <v>80.0</v>
      </c>
      <c r="H38" s="31">
        <v>120.0</v>
      </c>
      <c r="I38" s="39">
        <f t="shared" si="6"/>
        <v>3.555555556</v>
      </c>
    </row>
    <row r="39" ht="15.75" customHeight="1">
      <c r="B39" s="31">
        <v>3.0</v>
      </c>
      <c r="C39" s="45"/>
      <c r="D39" s="45" t="s">
        <v>195</v>
      </c>
      <c r="E39" s="31">
        <v>2.0</v>
      </c>
      <c r="F39" s="31">
        <f t="shared" si="5"/>
        <v>3</v>
      </c>
      <c r="G39" s="31">
        <v>6.0</v>
      </c>
      <c r="H39" s="31">
        <v>5.0</v>
      </c>
      <c r="I39" s="39">
        <f t="shared" si="6"/>
        <v>0.01111111111</v>
      </c>
    </row>
    <row r="40" ht="15.75" customHeight="1">
      <c r="B40" s="45"/>
      <c r="C40" s="45"/>
      <c r="D40" s="45"/>
      <c r="E40" s="31"/>
      <c r="F40" s="31">
        <f t="shared" si="5"/>
        <v>0</v>
      </c>
      <c r="G40" s="31"/>
      <c r="H40" s="31">
        <v>0.0</v>
      </c>
      <c r="I40" s="39">
        <f t="shared" si="6"/>
        <v>0</v>
      </c>
    </row>
    <row r="41" ht="15.75" customHeight="1">
      <c r="H41" s="74" t="s">
        <v>231</v>
      </c>
      <c r="I41" s="39">
        <f>SUM(I36:I40)</f>
        <v>13.04814815</v>
      </c>
    </row>
    <row r="42" ht="15.75" customHeight="1">
      <c r="H42" s="74" t="s">
        <v>232</v>
      </c>
      <c r="I42" s="31">
        <f>IF(I41&gt;5,3,IF(I41&gt;1,1,0))</f>
        <v>3</v>
      </c>
    </row>
    <row r="43" ht="15.75" customHeight="1"/>
    <row r="44" ht="15.75" customHeight="1"/>
    <row r="45" ht="15.75" customHeight="1">
      <c r="B45" s="1" t="s">
        <v>233</v>
      </c>
    </row>
    <row r="46" ht="15.75" customHeight="1">
      <c r="B46" s="2" t="s">
        <v>4</v>
      </c>
      <c r="C46" s="2" t="s">
        <v>6</v>
      </c>
      <c r="D46" s="5" t="s">
        <v>8</v>
      </c>
      <c r="E46" s="5" t="s">
        <v>10</v>
      </c>
      <c r="F46" s="5" t="s">
        <v>11</v>
      </c>
      <c r="G46" s="5" t="s">
        <v>13</v>
      </c>
      <c r="H46" s="87" t="s">
        <v>14</v>
      </c>
      <c r="I46" s="9" t="s">
        <v>15</v>
      </c>
    </row>
    <row r="47" ht="15.75" customHeight="1">
      <c r="B47" s="18"/>
      <c r="C47" s="18"/>
      <c r="D47" s="17"/>
      <c r="E47" s="17" t="s">
        <v>32</v>
      </c>
      <c r="F47" s="17" t="s">
        <v>33</v>
      </c>
      <c r="G47" s="18" t="s">
        <v>35</v>
      </c>
      <c r="H47" s="5" t="s">
        <v>36</v>
      </c>
      <c r="I47" s="17" t="s">
        <v>39</v>
      </c>
    </row>
    <row r="48" ht="15.75" customHeight="1">
      <c r="B48" s="20" t="s">
        <v>49</v>
      </c>
      <c r="C48" s="25"/>
      <c r="D48" s="20" t="s">
        <v>53</v>
      </c>
      <c r="E48" s="20" t="s">
        <v>54</v>
      </c>
      <c r="F48" s="20" t="s">
        <v>57</v>
      </c>
      <c r="G48" s="25" t="s">
        <v>58</v>
      </c>
      <c r="H48" s="20" t="s">
        <v>61</v>
      </c>
      <c r="I48" s="27" t="s">
        <v>239</v>
      </c>
    </row>
    <row r="49" ht="15.75" customHeight="1">
      <c r="B49" s="31">
        <v>4.0</v>
      </c>
      <c r="C49" s="31" t="s">
        <v>73</v>
      </c>
      <c r="D49" s="32" t="s">
        <v>76</v>
      </c>
      <c r="E49" s="31">
        <v>2.0</v>
      </c>
      <c r="F49" s="31">
        <f t="shared" ref="F49:F53" si="7">IF(E49=1,$N$4,IF(E49=2,$N$5,IF(E49=3,$N$6,IF(E49=4,$N$7,0))))</f>
        <v>3</v>
      </c>
      <c r="G49" s="31">
        <v>120.0</v>
      </c>
      <c r="H49" s="31">
        <v>180.0</v>
      </c>
      <c r="I49" s="39">
        <f t="shared" ref="I49:I53" si="8">G49/$M$13*H49/$M$14*F49</f>
        <v>8</v>
      </c>
    </row>
    <row r="50" ht="15.75" customHeight="1">
      <c r="B50" s="31">
        <v>4.0</v>
      </c>
      <c r="C50" s="31" t="s">
        <v>80</v>
      </c>
      <c r="D50" s="45" t="s">
        <v>81</v>
      </c>
      <c r="E50" s="31">
        <v>2.0</v>
      </c>
      <c r="F50" s="31">
        <f t="shared" si="7"/>
        <v>3</v>
      </c>
      <c r="G50" s="31">
        <v>100.0</v>
      </c>
      <c r="H50" s="31">
        <v>40.0</v>
      </c>
      <c r="I50" s="39">
        <f t="shared" si="8"/>
        <v>1.481481481</v>
      </c>
    </row>
    <row r="51" ht="15.75" customHeight="1">
      <c r="B51" s="31">
        <v>4.0</v>
      </c>
      <c r="C51" s="31" t="s">
        <v>84</v>
      </c>
      <c r="D51" s="45" t="s">
        <v>85</v>
      </c>
      <c r="E51" s="31">
        <v>2.0</v>
      </c>
      <c r="F51" s="31">
        <f t="shared" si="7"/>
        <v>3</v>
      </c>
      <c r="G51" s="31">
        <v>80.0</v>
      </c>
      <c r="H51" s="31">
        <v>120.0</v>
      </c>
      <c r="I51" s="39">
        <f t="shared" si="8"/>
        <v>3.555555556</v>
      </c>
    </row>
    <row r="52" ht="15.75" customHeight="1">
      <c r="B52" s="31">
        <v>4.0</v>
      </c>
      <c r="C52" s="45"/>
      <c r="D52" s="45" t="s">
        <v>195</v>
      </c>
      <c r="E52" s="31">
        <v>2.0</v>
      </c>
      <c r="F52" s="31">
        <f t="shared" si="7"/>
        <v>3</v>
      </c>
      <c r="G52" s="31">
        <v>6.0</v>
      </c>
      <c r="H52" s="31">
        <v>5.0</v>
      </c>
      <c r="I52" s="39">
        <f t="shared" si="8"/>
        <v>0.01111111111</v>
      </c>
    </row>
    <row r="53" ht="15.75" customHeight="1">
      <c r="B53" s="45"/>
      <c r="C53" s="45"/>
      <c r="D53" s="45"/>
      <c r="E53" s="31">
        <v>2.0</v>
      </c>
      <c r="F53" s="31">
        <f t="shared" si="7"/>
        <v>3</v>
      </c>
      <c r="G53" s="31">
        <v>15.0</v>
      </c>
      <c r="H53" s="31">
        <v>15.0</v>
      </c>
      <c r="I53" s="39">
        <f t="shared" si="8"/>
        <v>0.08333333333</v>
      </c>
    </row>
    <row r="54" ht="15.75" customHeight="1">
      <c r="H54" s="74" t="s">
        <v>241</v>
      </c>
      <c r="I54" s="39">
        <f>SUM(I49:I53)</f>
        <v>13.13148148</v>
      </c>
    </row>
    <row r="55" ht="15.75" customHeight="1">
      <c r="H55" s="74" t="s">
        <v>242</v>
      </c>
      <c r="I55" s="31">
        <f>IF(I54&gt;5,3,IF(I54&gt;1,1,0))</f>
        <v>3</v>
      </c>
    </row>
    <row r="56" ht="15.75" customHeight="1">
      <c r="I56" s="1" t="s">
        <v>16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.8"/>
    <col customWidth="1" min="2" max="3" width="10.5"/>
    <col customWidth="1" min="4" max="4" width="18.0"/>
    <col customWidth="1" min="5" max="6" width="10.5"/>
    <col customWidth="1" min="7" max="7" width="12.9"/>
    <col customWidth="1" min="8" max="10" width="10.5"/>
    <col customWidth="1" min="11" max="11" width="14.1"/>
    <col customWidth="1" min="12" max="12" width="14.4"/>
    <col customWidth="1" min="13" max="13" width="1.9"/>
    <col customWidth="1" min="14" max="14" width="10.5"/>
    <col customWidth="1" min="15" max="15" width="23.6"/>
    <col customWidth="1" min="16" max="26" width="10.5"/>
  </cols>
  <sheetData>
    <row r="2">
      <c r="B2" s="75" t="s">
        <v>243</v>
      </c>
      <c r="J2" s="78" t="s">
        <v>244</v>
      </c>
      <c r="N2" s="78" t="s">
        <v>245</v>
      </c>
      <c r="O2" s="70"/>
    </row>
    <row r="3">
      <c r="B3" s="77" t="s">
        <v>4</v>
      </c>
      <c r="C3" s="5" t="s">
        <v>6</v>
      </c>
      <c r="D3" s="90" t="s">
        <v>246</v>
      </c>
      <c r="E3" s="5" t="s">
        <v>168</v>
      </c>
      <c r="F3" s="5" t="s">
        <v>247</v>
      </c>
      <c r="G3" s="9" t="s">
        <v>248</v>
      </c>
      <c r="H3" s="9" t="s">
        <v>249</v>
      </c>
      <c r="I3" s="14" t="s">
        <v>16</v>
      </c>
      <c r="J3" s="5">
        <v>1.0</v>
      </c>
      <c r="K3" s="5" t="s">
        <v>6</v>
      </c>
      <c r="L3" s="5" t="s">
        <v>149</v>
      </c>
      <c r="N3" s="21" t="s">
        <v>250</v>
      </c>
      <c r="O3" s="21" t="s">
        <v>251</v>
      </c>
    </row>
    <row r="4">
      <c r="B4" s="22" t="s">
        <v>252</v>
      </c>
      <c r="C4" s="20" t="s">
        <v>16</v>
      </c>
      <c r="D4" s="91" t="s">
        <v>16</v>
      </c>
      <c r="E4" s="20" t="s">
        <v>16</v>
      </c>
      <c r="F4" s="81" t="s">
        <v>253</v>
      </c>
      <c r="G4" s="20" t="s">
        <v>16</v>
      </c>
      <c r="H4" s="81" t="s">
        <v>16</v>
      </c>
      <c r="I4" s="14" t="s">
        <v>16</v>
      </c>
      <c r="J4" s="30">
        <v>1.0</v>
      </c>
      <c r="K4" s="30" t="s">
        <v>93</v>
      </c>
      <c r="L4" s="30">
        <v>7.0</v>
      </c>
      <c r="N4" s="31">
        <v>0.0</v>
      </c>
      <c r="O4" s="31">
        <v>0.0</v>
      </c>
    </row>
    <row r="5">
      <c r="B5" s="30">
        <v>1.0</v>
      </c>
      <c r="C5" s="30">
        <v>1.0</v>
      </c>
      <c r="D5" s="30" t="s">
        <v>81</v>
      </c>
      <c r="E5" s="30">
        <v>3.0</v>
      </c>
      <c r="F5" s="30">
        <v>30.0</v>
      </c>
      <c r="G5" s="30">
        <f t="shared" ref="G5:G7" si="1">IF(C5=1,$L$4,IF(C5=2,$L$5,IF(C5=3,$L$6,IF(C5=4,$L$7, IF(C5=5,$L$8,0)))))</f>
        <v>7</v>
      </c>
      <c r="H5" s="30">
        <f t="shared" ref="H5:H7" si="2">E5*F5/100*G5</f>
        <v>6.3</v>
      </c>
      <c r="I5" s="98"/>
      <c r="J5" s="36">
        <v>2.0</v>
      </c>
      <c r="K5" s="36" t="s">
        <v>98</v>
      </c>
      <c r="L5" s="36">
        <v>5.0</v>
      </c>
      <c r="N5" s="83" t="s">
        <v>254</v>
      </c>
      <c r="O5" s="31">
        <v>1.0</v>
      </c>
    </row>
    <row r="6">
      <c r="B6" s="36">
        <v>1.0</v>
      </c>
      <c r="C6" s="36">
        <v>2.0</v>
      </c>
      <c r="D6" s="36" t="s">
        <v>255</v>
      </c>
      <c r="E6" s="36">
        <v>4.0</v>
      </c>
      <c r="F6" s="36">
        <v>20.0</v>
      </c>
      <c r="G6" s="36">
        <f t="shared" si="1"/>
        <v>5</v>
      </c>
      <c r="H6" s="47">
        <f t="shared" si="2"/>
        <v>4</v>
      </c>
      <c r="I6" s="98"/>
      <c r="J6" s="36">
        <v>3.0</v>
      </c>
      <c r="K6" s="36" t="s">
        <v>103</v>
      </c>
      <c r="L6" s="36">
        <v>3.0</v>
      </c>
      <c r="N6" s="31" t="s">
        <v>258</v>
      </c>
      <c r="O6" s="31">
        <v>3.0</v>
      </c>
    </row>
    <row r="7">
      <c r="B7" s="57">
        <v>1.0</v>
      </c>
      <c r="C7" s="57">
        <v>3.0</v>
      </c>
      <c r="D7" s="57" t="s">
        <v>259</v>
      </c>
      <c r="E7" s="57">
        <v>3.0</v>
      </c>
      <c r="F7" s="57">
        <v>20.0</v>
      </c>
      <c r="G7" s="57">
        <f t="shared" si="1"/>
        <v>3</v>
      </c>
      <c r="H7" s="57">
        <f t="shared" si="2"/>
        <v>1.8</v>
      </c>
      <c r="I7" s="98"/>
      <c r="J7" s="36">
        <v>4.0</v>
      </c>
      <c r="K7" s="36" t="s">
        <v>260</v>
      </c>
      <c r="L7" s="36">
        <v>1.0</v>
      </c>
    </row>
    <row r="8">
      <c r="B8" s="29"/>
      <c r="C8" s="29"/>
      <c r="D8" s="29"/>
      <c r="E8" s="29"/>
      <c r="F8" s="29"/>
      <c r="G8" s="21" t="s">
        <v>261</v>
      </c>
      <c r="H8" s="65">
        <f>SUM(H5:H7)</f>
        <v>12.1</v>
      </c>
      <c r="I8" s="98"/>
      <c r="J8" s="99">
        <v>5.0</v>
      </c>
      <c r="K8" s="57" t="s">
        <v>110</v>
      </c>
      <c r="L8" s="57">
        <v>0.5</v>
      </c>
      <c r="M8" s="100"/>
    </row>
    <row r="9">
      <c r="G9" s="21" t="s">
        <v>267</v>
      </c>
      <c r="H9" s="31">
        <f>IF(H8&gt;2,3,IF(H8=0,0,1))</f>
        <v>3</v>
      </c>
      <c r="J9" s="98"/>
    </row>
    <row r="10">
      <c r="J10" s="29"/>
    </row>
    <row r="11">
      <c r="J11" s="101"/>
    </row>
    <row r="12">
      <c r="B12" s="77" t="s">
        <v>4</v>
      </c>
      <c r="C12" s="5" t="s">
        <v>6</v>
      </c>
      <c r="D12" s="90" t="s">
        <v>246</v>
      </c>
      <c r="E12" s="5" t="s">
        <v>168</v>
      </c>
      <c r="F12" s="5" t="s">
        <v>247</v>
      </c>
      <c r="G12" s="9" t="s">
        <v>248</v>
      </c>
      <c r="H12" s="9" t="s">
        <v>279</v>
      </c>
      <c r="I12" s="14" t="s">
        <v>16</v>
      </c>
    </row>
    <row r="13">
      <c r="B13" s="22" t="s">
        <v>252</v>
      </c>
      <c r="C13" s="20" t="s">
        <v>16</v>
      </c>
      <c r="D13" s="91" t="s">
        <v>16</v>
      </c>
      <c r="E13" s="20" t="s">
        <v>16</v>
      </c>
      <c r="F13" s="81" t="s">
        <v>253</v>
      </c>
      <c r="G13" s="20" t="s">
        <v>16</v>
      </c>
      <c r="H13" s="81" t="s">
        <v>16</v>
      </c>
      <c r="I13" s="14" t="s">
        <v>16</v>
      </c>
    </row>
    <row r="14">
      <c r="B14" s="30">
        <v>2.0</v>
      </c>
      <c r="C14" s="30">
        <v>4.0</v>
      </c>
      <c r="D14" s="30" t="s">
        <v>282</v>
      </c>
      <c r="E14" s="30">
        <v>2.0</v>
      </c>
      <c r="F14" s="30">
        <v>30.0</v>
      </c>
      <c r="G14" s="30">
        <f t="shared" ref="G14:G16" si="3">IF(C14=1,$L$4,IF(C14=2,$L$5,IF(C14=3,$L$6,IF(C14=4,$L$7, IF(C14=5,$L$8,0)))))</f>
        <v>1</v>
      </c>
      <c r="H14" s="30">
        <f t="shared" ref="H14:H16" si="4">E14*F14/100*G14</f>
        <v>0.6</v>
      </c>
      <c r="I14" s="98"/>
    </row>
    <row r="15">
      <c r="B15" s="36">
        <v>2.0</v>
      </c>
      <c r="C15" s="36">
        <v>5.0</v>
      </c>
      <c r="D15" s="36" t="s">
        <v>287</v>
      </c>
      <c r="E15" s="36">
        <v>1.0</v>
      </c>
      <c r="F15" s="36">
        <v>100.0</v>
      </c>
      <c r="G15" s="36">
        <f t="shared" si="3"/>
        <v>0.5</v>
      </c>
      <c r="H15" s="36">
        <f t="shared" si="4"/>
        <v>0.5</v>
      </c>
      <c r="I15" s="98"/>
    </row>
    <row r="16">
      <c r="B16" s="57">
        <v>2.0</v>
      </c>
      <c r="C16" s="57">
        <v>0.0</v>
      </c>
      <c r="D16" s="57"/>
      <c r="E16" s="57">
        <v>0.0</v>
      </c>
      <c r="F16" s="57">
        <v>0.0</v>
      </c>
      <c r="G16" s="57">
        <f t="shared" si="3"/>
        <v>0</v>
      </c>
      <c r="H16" s="36">
        <f t="shared" si="4"/>
        <v>0</v>
      </c>
      <c r="I16" s="98"/>
    </row>
    <row r="17">
      <c r="B17" s="29"/>
      <c r="C17" s="29"/>
      <c r="D17" s="29"/>
      <c r="E17" s="29"/>
      <c r="F17" s="29"/>
      <c r="G17" s="21" t="s">
        <v>297</v>
      </c>
      <c r="H17" s="65">
        <f>SUM(H14:H16)</f>
        <v>1.1</v>
      </c>
      <c r="I17" s="98"/>
      <c r="J17" s="98"/>
    </row>
    <row r="18">
      <c r="G18" s="21" t="s">
        <v>300</v>
      </c>
      <c r="H18" s="31">
        <f>IF(H17&gt;2,3,IF(H17=0,0,1))</f>
        <v>1</v>
      </c>
      <c r="J18" s="98"/>
    </row>
    <row r="19">
      <c r="J19" s="29"/>
    </row>
    <row r="20">
      <c r="J20" s="101"/>
    </row>
    <row r="21" ht="15.75" customHeight="1">
      <c r="J21" s="101"/>
    </row>
    <row r="22" ht="15.75" customHeight="1">
      <c r="B22" s="77" t="s">
        <v>4</v>
      </c>
      <c r="C22" s="5" t="s">
        <v>6</v>
      </c>
      <c r="D22" s="90" t="s">
        <v>246</v>
      </c>
      <c r="E22" s="5" t="s">
        <v>168</v>
      </c>
      <c r="F22" s="5" t="s">
        <v>247</v>
      </c>
      <c r="G22" s="9" t="s">
        <v>248</v>
      </c>
      <c r="H22" s="9" t="s">
        <v>305</v>
      </c>
      <c r="I22" s="14" t="s">
        <v>16</v>
      </c>
    </row>
    <row r="23" ht="15.75" customHeight="1">
      <c r="B23" s="22" t="s">
        <v>252</v>
      </c>
      <c r="C23" s="20" t="s">
        <v>16</v>
      </c>
      <c r="D23" s="91" t="s">
        <v>16</v>
      </c>
      <c r="E23" s="20" t="s">
        <v>16</v>
      </c>
      <c r="F23" s="81" t="s">
        <v>253</v>
      </c>
      <c r="G23" s="20" t="s">
        <v>16</v>
      </c>
      <c r="H23" s="81" t="s">
        <v>16</v>
      </c>
      <c r="I23" s="14" t="s">
        <v>16</v>
      </c>
    </row>
    <row r="24" ht="15.75" customHeight="1">
      <c r="B24" s="30">
        <v>3.0</v>
      </c>
      <c r="C24" s="30">
        <v>2.0</v>
      </c>
      <c r="D24" s="30" t="s">
        <v>81</v>
      </c>
      <c r="E24" s="30">
        <v>2.0</v>
      </c>
      <c r="F24" s="30">
        <v>30.0</v>
      </c>
      <c r="G24" s="30">
        <f t="shared" ref="G24:G26" si="5">IF(C24=1,$L$4,IF(C24=2,$L$5,IF(C24=3,$L$6,IF(C24=4,$L$7, IF(C24=5,$L$8,0)))))</f>
        <v>5</v>
      </c>
      <c r="H24" s="30">
        <f t="shared" ref="H24:H26" si="6">E24*F24/100*G24</f>
        <v>3</v>
      </c>
      <c r="I24" s="98"/>
    </row>
    <row r="25" ht="15.75" customHeight="1">
      <c r="B25" s="36">
        <v>3.0</v>
      </c>
      <c r="C25" s="36">
        <v>2.0</v>
      </c>
      <c r="D25" s="36" t="s">
        <v>255</v>
      </c>
      <c r="E25" s="36">
        <v>2.0</v>
      </c>
      <c r="F25" s="36">
        <v>5.0</v>
      </c>
      <c r="G25" s="36">
        <f t="shared" si="5"/>
        <v>5</v>
      </c>
      <c r="H25" s="36">
        <f t="shared" si="6"/>
        <v>0.5</v>
      </c>
      <c r="I25" s="98"/>
    </row>
    <row r="26" ht="15.75" customHeight="1">
      <c r="B26" s="57">
        <v>3.0</v>
      </c>
      <c r="C26" s="57">
        <v>0.0</v>
      </c>
      <c r="D26" s="57"/>
      <c r="E26" s="57">
        <v>0.0</v>
      </c>
      <c r="F26" s="57">
        <v>0.0</v>
      </c>
      <c r="G26" s="57">
        <f t="shared" si="5"/>
        <v>0</v>
      </c>
      <c r="H26" s="36">
        <f t="shared" si="6"/>
        <v>0</v>
      </c>
      <c r="I26" s="98"/>
    </row>
    <row r="27" ht="15.75" customHeight="1">
      <c r="B27" s="29"/>
      <c r="C27" s="29"/>
      <c r="D27" s="29"/>
      <c r="E27" s="29"/>
      <c r="F27" s="29"/>
      <c r="G27" s="21" t="s">
        <v>320</v>
      </c>
      <c r="H27" s="65">
        <f>SUM(H24:H26)</f>
        <v>3.5</v>
      </c>
      <c r="I27" s="98"/>
      <c r="J27" s="98"/>
    </row>
    <row r="28" ht="15.75" customHeight="1">
      <c r="G28" s="21" t="s">
        <v>321</v>
      </c>
      <c r="H28" s="31">
        <f>IF(H27&gt;2,3,IF(H27=0,0,1))</f>
        <v>3</v>
      </c>
      <c r="J28" s="98"/>
    </row>
    <row r="29" ht="15.75" customHeight="1">
      <c r="J29" s="29"/>
    </row>
    <row r="30" ht="15.75" customHeight="1">
      <c r="J30" s="101"/>
    </row>
    <row r="31" ht="15.75" customHeight="1">
      <c r="B31" s="77" t="s">
        <v>4</v>
      </c>
      <c r="C31" s="5" t="s">
        <v>6</v>
      </c>
      <c r="D31" s="90" t="s">
        <v>246</v>
      </c>
      <c r="E31" s="5" t="s">
        <v>168</v>
      </c>
      <c r="F31" s="5" t="s">
        <v>247</v>
      </c>
      <c r="G31" s="9" t="s">
        <v>248</v>
      </c>
      <c r="H31" s="9" t="s">
        <v>323</v>
      </c>
      <c r="I31" s="14" t="s">
        <v>16</v>
      </c>
    </row>
    <row r="32" ht="15.75" customHeight="1">
      <c r="B32" s="22" t="s">
        <v>252</v>
      </c>
      <c r="C32" s="20" t="s">
        <v>16</v>
      </c>
      <c r="D32" s="91" t="s">
        <v>16</v>
      </c>
      <c r="E32" s="20" t="s">
        <v>16</v>
      </c>
      <c r="F32" s="81" t="s">
        <v>253</v>
      </c>
      <c r="G32" s="20" t="s">
        <v>16</v>
      </c>
      <c r="H32" s="81" t="s">
        <v>16</v>
      </c>
      <c r="I32" s="14" t="s">
        <v>16</v>
      </c>
    </row>
    <row r="33" ht="15.75" customHeight="1">
      <c r="B33" s="30">
        <v>4.0</v>
      </c>
      <c r="C33" s="30">
        <v>2.0</v>
      </c>
      <c r="D33" s="30" t="s">
        <v>81</v>
      </c>
      <c r="E33" s="30">
        <v>2.0</v>
      </c>
      <c r="F33" s="30">
        <v>30.0</v>
      </c>
      <c r="G33" s="30">
        <f t="shared" ref="G33:G35" si="7">IF(C33=1,$L$4,IF(C33=2,$L$5,IF(C33=3,$L$6,IF(C33=4,$L$7, IF(C33=5,$L$8,0)))))</f>
        <v>5</v>
      </c>
      <c r="H33" s="30">
        <f t="shared" ref="H33:H35" si="8">E33*F33/100*G33</f>
        <v>3</v>
      </c>
      <c r="I33" s="98"/>
    </row>
    <row r="34" ht="15.75" customHeight="1">
      <c r="B34" s="36">
        <v>4.0</v>
      </c>
      <c r="C34" s="36">
        <v>2.0</v>
      </c>
      <c r="D34" s="36" t="s">
        <v>255</v>
      </c>
      <c r="E34" s="36">
        <v>2.0</v>
      </c>
      <c r="F34" s="36">
        <v>5.0</v>
      </c>
      <c r="G34" s="36">
        <f t="shared" si="7"/>
        <v>5</v>
      </c>
      <c r="H34" s="36">
        <f t="shared" si="8"/>
        <v>0.5</v>
      </c>
      <c r="I34" s="98"/>
    </row>
    <row r="35" ht="15.75" customHeight="1">
      <c r="B35" s="57">
        <v>4.0</v>
      </c>
      <c r="C35" s="57">
        <v>0.0</v>
      </c>
      <c r="D35" s="57"/>
      <c r="E35" s="57">
        <v>0.0</v>
      </c>
      <c r="F35" s="57">
        <v>0.0</v>
      </c>
      <c r="G35" s="57">
        <f t="shared" si="7"/>
        <v>0</v>
      </c>
      <c r="H35" s="36">
        <f t="shared" si="8"/>
        <v>0</v>
      </c>
      <c r="I35" s="98"/>
    </row>
    <row r="36" ht="15.75" customHeight="1">
      <c r="B36" s="29"/>
      <c r="C36" s="29"/>
      <c r="D36" s="29"/>
      <c r="E36" s="29"/>
      <c r="F36" s="29"/>
      <c r="G36" s="21" t="s">
        <v>332</v>
      </c>
      <c r="H36" s="65">
        <f>SUM(H33:H35)</f>
        <v>3.5</v>
      </c>
      <c r="I36" s="98"/>
      <c r="J36" s="98"/>
    </row>
    <row r="37" ht="15.75" customHeight="1">
      <c r="G37" s="21" t="s">
        <v>333</v>
      </c>
      <c r="H37" s="31">
        <f>IF(H36&gt;2,3,IF(H36=0,0,1))</f>
        <v>3</v>
      </c>
      <c r="J37" s="98"/>
    </row>
    <row r="38" ht="15.75" customHeight="1">
      <c r="J38" s="2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9"/>
    <col customWidth="1" min="2" max="3" width="10.5"/>
    <col customWidth="1" min="4" max="5" width="12.3"/>
    <col customWidth="1" min="6" max="6" width="14.8"/>
    <col customWidth="1" min="7" max="7" width="10.5"/>
    <col customWidth="1" min="8" max="8" width="9.4"/>
    <col customWidth="1" min="9" max="10" width="10.5"/>
    <col customWidth="1" min="11" max="11" width="4.7"/>
    <col customWidth="1" min="12" max="12" width="20.7"/>
    <col customWidth="1" min="13" max="13" width="28.7"/>
    <col customWidth="1" min="14" max="14" width="4.1"/>
    <col customWidth="1" min="15" max="15" width="16.8"/>
    <col customWidth="1" min="16" max="16" width="16.0"/>
    <col customWidth="1" min="17" max="17" width="13.2"/>
    <col customWidth="1" min="18" max="26" width="10.5"/>
  </cols>
  <sheetData>
    <row r="3">
      <c r="B3" s="75" t="s">
        <v>262</v>
      </c>
      <c r="L3" s="78" t="s">
        <v>263</v>
      </c>
      <c r="O3" s="78" t="s">
        <v>264</v>
      </c>
    </row>
    <row r="4">
      <c r="B4" s="5" t="s">
        <v>4</v>
      </c>
      <c r="C4" s="5" t="s">
        <v>265</v>
      </c>
      <c r="D4" s="3" t="s">
        <v>247</v>
      </c>
      <c r="E4" s="6"/>
      <c r="F4" s="8" t="s">
        <v>266</v>
      </c>
      <c r="G4" s="11"/>
      <c r="H4" s="11"/>
      <c r="I4" s="13"/>
      <c r="J4" s="5" t="s">
        <v>268</v>
      </c>
      <c r="L4" s="5" t="s">
        <v>269</v>
      </c>
      <c r="M4" s="5" t="s">
        <v>270</v>
      </c>
      <c r="O4" s="5" t="s">
        <v>271</v>
      </c>
      <c r="P4" s="5" t="s">
        <v>272</v>
      </c>
      <c r="Q4" s="5" t="s">
        <v>273</v>
      </c>
    </row>
    <row r="5">
      <c r="B5" s="20" t="s">
        <v>252</v>
      </c>
      <c r="C5" s="20"/>
      <c r="D5" s="21" t="s">
        <v>271</v>
      </c>
      <c r="E5" s="21" t="s">
        <v>274</v>
      </c>
      <c r="F5" s="21" t="s">
        <v>271</v>
      </c>
      <c r="G5" s="21" t="s">
        <v>275</v>
      </c>
      <c r="H5" s="21" t="s">
        <v>276</v>
      </c>
      <c r="I5" s="21" t="s">
        <v>277</v>
      </c>
      <c r="J5" s="20"/>
      <c r="L5" s="30" t="s">
        <v>278</v>
      </c>
      <c r="M5" s="30">
        <v>1.0</v>
      </c>
      <c r="O5" s="30" t="s">
        <v>280</v>
      </c>
      <c r="P5" s="30">
        <v>0.0</v>
      </c>
      <c r="Q5" s="30">
        <v>1.0</v>
      </c>
    </row>
    <row r="6">
      <c r="B6" s="31">
        <v>1.0</v>
      </c>
      <c r="C6" s="45" t="s">
        <v>281</v>
      </c>
      <c r="D6" s="31" t="s">
        <v>278</v>
      </c>
      <c r="E6" s="31">
        <f t="shared" ref="E6:E11" si="1">IF(D6="Asistente",$M$5,IF(D6="Expositor",$M$6,IF(D6="Organización",$M$7,IF(D6="Evaluador",$M$8,0))))</f>
        <v>1</v>
      </c>
      <c r="F6" s="31" t="s">
        <v>280</v>
      </c>
      <c r="G6" s="31" t="s">
        <v>286</v>
      </c>
      <c r="H6" s="31">
        <v>1.0</v>
      </c>
      <c r="I6" s="31">
        <f t="shared" ref="I6:I11" si="2">IF(F6="Resumen",IF(H6=0,$Q$5,$Q$6),IF(F6="Trabajo Extendido",IF(H6=0,$Q$7,$Q$8),IF(F6="Trabajo Completo",IF(H6=0,$Q$9,$Q$10),0)))</f>
        <v>3</v>
      </c>
      <c r="J6" s="31">
        <f t="shared" ref="J6:J11" si="3">E6+I6</f>
        <v>4</v>
      </c>
      <c r="L6" s="36" t="s">
        <v>299</v>
      </c>
      <c r="M6" s="36">
        <v>3.0</v>
      </c>
      <c r="O6" s="36"/>
      <c r="P6" s="36">
        <v>1.0</v>
      </c>
      <c r="Q6" s="36">
        <v>3.0</v>
      </c>
    </row>
    <row r="7">
      <c r="B7" s="31">
        <v>1.0</v>
      </c>
      <c r="C7" s="45" t="s">
        <v>222</v>
      </c>
      <c r="D7" s="31" t="s">
        <v>299</v>
      </c>
      <c r="E7" s="31">
        <f t="shared" si="1"/>
        <v>3</v>
      </c>
      <c r="F7" s="45" t="s">
        <v>301</v>
      </c>
      <c r="G7" s="31" t="s">
        <v>286</v>
      </c>
      <c r="H7" s="31">
        <v>1.0</v>
      </c>
      <c r="I7" s="31">
        <f t="shared" si="2"/>
        <v>5</v>
      </c>
      <c r="J7" s="31">
        <f t="shared" si="3"/>
        <v>8</v>
      </c>
      <c r="L7" s="36" t="s">
        <v>302</v>
      </c>
      <c r="M7" s="36">
        <v>4.0</v>
      </c>
      <c r="O7" s="30" t="s">
        <v>301</v>
      </c>
      <c r="P7" s="30">
        <v>0.0</v>
      </c>
      <c r="Q7" s="30">
        <v>3.0</v>
      </c>
    </row>
    <row r="8">
      <c r="B8" s="31">
        <v>1.0</v>
      </c>
      <c r="C8" s="45" t="s">
        <v>307</v>
      </c>
      <c r="D8" s="31" t="s">
        <v>299</v>
      </c>
      <c r="E8" s="31">
        <f t="shared" si="1"/>
        <v>3</v>
      </c>
      <c r="F8" s="45" t="s">
        <v>310</v>
      </c>
      <c r="G8" s="31" t="s">
        <v>286</v>
      </c>
      <c r="H8" s="31">
        <v>1.0</v>
      </c>
      <c r="I8" s="31">
        <f t="shared" si="2"/>
        <v>8</v>
      </c>
      <c r="J8" s="31">
        <f t="shared" si="3"/>
        <v>11</v>
      </c>
      <c r="L8" s="57" t="s">
        <v>313</v>
      </c>
      <c r="M8" s="57">
        <v>5.0</v>
      </c>
      <c r="O8" s="57"/>
      <c r="P8" s="57">
        <v>1.0</v>
      </c>
      <c r="Q8" s="57">
        <v>5.0</v>
      </c>
    </row>
    <row r="9">
      <c r="B9" s="31">
        <v>1.0</v>
      </c>
      <c r="C9" s="45" t="s">
        <v>315</v>
      </c>
      <c r="D9" s="31" t="s">
        <v>302</v>
      </c>
      <c r="E9" s="31">
        <f t="shared" si="1"/>
        <v>4</v>
      </c>
      <c r="F9" s="45"/>
      <c r="G9" s="45"/>
      <c r="H9" s="45"/>
      <c r="I9" s="31">
        <f t="shared" si="2"/>
        <v>0</v>
      </c>
      <c r="J9" s="31">
        <f t="shared" si="3"/>
        <v>4</v>
      </c>
      <c r="O9" s="36" t="s">
        <v>310</v>
      </c>
      <c r="P9" s="36">
        <v>0.0</v>
      </c>
      <c r="Q9" s="36">
        <v>5.0</v>
      </c>
    </row>
    <row r="10">
      <c r="B10" s="31">
        <v>1.0</v>
      </c>
      <c r="C10" s="45" t="s">
        <v>317</v>
      </c>
      <c r="D10" s="31" t="s">
        <v>313</v>
      </c>
      <c r="E10" s="31">
        <f t="shared" si="1"/>
        <v>5</v>
      </c>
      <c r="F10" s="45"/>
      <c r="G10" s="45"/>
      <c r="H10" s="45"/>
      <c r="I10" s="31">
        <f t="shared" si="2"/>
        <v>0</v>
      </c>
      <c r="J10" s="31">
        <f t="shared" si="3"/>
        <v>5</v>
      </c>
      <c r="O10" s="57"/>
      <c r="P10" s="57">
        <v>1.0</v>
      </c>
      <c r="Q10" s="57">
        <v>8.0</v>
      </c>
    </row>
    <row r="11">
      <c r="B11" s="45"/>
      <c r="C11" s="45"/>
      <c r="D11" s="45"/>
      <c r="E11" s="31">
        <f t="shared" si="1"/>
        <v>0</v>
      </c>
      <c r="F11" s="45"/>
      <c r="G11" s="45"/>
      <c r="H11" s="45"/>
      <c r="I11" s="31">
        <f t="shared" si="2"/>
        <v>0</v>
      </c>
      <c r="J11" s="31">
        <f t="shared" si="3"/>
        <v>0</v>
      </c>
      <c r="O11" s="104" t="s">
        <v>325</v>
      </c>
    </row>
    <row r="12">
      <c r="I12" s="21" t="s">
        <v>327</v>
      </c>
      <c r="J12" s="31">
        <f>SUM(J6:J11)</f>
        <v>32</v>
      </c>
    </row>
    <row r="13">
      <c r="I13" s="21" t="s">
        <v>330</v>
      </c>
      <c r="J13" s="31">
        <f>IF(J12&gt;5,3,IF(J12&gt;1,1,0))</f>
        <v>3</v>
      </c>
    </row>
    <row r="14">
      <c r="O14" s="78" t="s">
        <v>331</v>
      </c>
      <c r="P14" s="70"/>
    </row>
    <row r="15">
      <c r="B15" s="5" t="s">
        <v>4</v>
      </c>
      <c r="C15" s="5" t="s">
        <v>265</v>
      </c>
      <c r="D15" s="3" t="s">
        <v>247</v>
      </c>
      <c r="E15" s="6"/>
      <c r="F15" s="8" t="s">
        <v>266</v>
      </c>
      <c r="G15" s="11"/>
      <c r="H15" s="11"/>
      <c r="I15" s="13"/>
      <c r="J15" s="5" t="s">
        <v>334</v>
      </c>
      <c r="O15" s="21" t="s">
        <v>335</v>
      </c>
      <c r="P15" s="21" t="s">
        <v>336</v>
      </c>
    </row>
    <row r="16">
      <c r="B16" s="20" t="s">
        <v>252</v>
      </c>
      <c r="C16" s="20"/>
      <c r="D16" s="21" t="s">
        <v>271</v>
      </c>
      <c r="E16" s="21" t="s">
        <v>339</v>
      </c>
      <c r="F16" s="21" t="s">
        <v>271</v>
      </c>
      <c r="G16" s="21" t="s">
        <v>275</v>
      </c>
      <c r="H16" s="21" t="s">
        <v>276</v>
      </c>
      <c r="I16" s="21" t="s">
        <v>340</v>
      </c>
      <c r="J16" s="20"/>
      <c r="O16" s="31">
        <v>0.0</v>
      </c>
      <c r="P16" s="31">
        <v>0.0</v>
      </c>
    </row>
    <row r="17">
      <c r="B17" s="31">
        <v>2.0</v>
      </c>
      <c r="C17" s="45" t="s">
        <v>281</v>
      </c>
      <c r="D17" s="31" t="s">
        <v>278</v>
      </c>
      <c r="E17" s="31">
        <f t="shared" ref="E17:E22" si="4">IF(D17="Asistente",$M$5,IF(D17="Expositor",$M$6,IF(D17="Organización",$M$7,IF(D17="Evaluador",$M$8,0))))</f>
        <v>1</v>
      </c>
      <c r="F17" s="31" t="s">
        <v>280</v>
      </c>
      <c r="G17" s="31" t="s">
        <v>286</v>
      </c>
      <c r="H17" s="31">
        <v>1.0</v>
      </c>
      <c r="I17" s="31">
        <f t="shared" ref="I17:I22" si="5">IF(F17="Resumen",IF(H17=0,$Q$5,$Q$6),IF(F17="Trabajo Extendido",IF(H17=0,$Q$7,$Q$8),IF(F17="Trabajo Completo",IF(H17=0,$Q$9,$Q$10),0)))</f>
        <v>3</v>
      </c>
      <c r="J17" s="31">
        <f t="shared" ref="J17:J22" si="6">E17+I17</f>
        <v>4</v>
      </c>
      <c r="O17" s="83" t="s">
        <v>150</v>
      </c>
      <c r="P17" s="31">
        <v>1.0</v>
      </c>
    </row>
    <row r="18">
      <c r="B18" s="31">
        <v>2.0</v>
      </c>
      <c r="C18" s="45"/>
      <c r="D18" s="31"/>
      <c r="E18" s="31">
        <f t="shared" si="4"/>
        <v>0</v>
      </c>
      <c r="F18" s="45"/>
      <c r="G18" s="31"/>
      <c r="H18" s="31"/>
      <c r="I18" s="31">
        <f t="shared" si="5"/>
        <v>0</v>
      </c>
      <c r="J18" s="31">
        <f t="shared" si="6"/>
        <v>0</v>
      </c>
      <c r="O18" s="31" t="s">
        <v>162</v>
      </c>
      <c r="P18" s="31">
        <v>3.0</v>
      </c>
    </row>
    <row r="19">
      <c r="B19" s="31">
        <v>2.0</v>
      </c>
      <c r="C19" s="45"/>
      <c r="D19" s="31"/>
      <c r="E19" s="31">
        <f t="shared" si="4"/>
        <v>0</v>
      </c>
      <c r="F19" s="45"/>
      <c r="G19" s="31"/>
      <c r="H19" s="31"/>
      <c r="I19" s="31">
        <f t="shared" si="5"/>
        <v>0</v>
      </c>
      <c r="J19" s="31">
        <f t="shared" si="6"/>
        <v>0</v>
      </c>
    </row>
    <row r="20">
      <c r="B20" s="31">
        <v>2.0</v>
      </c>
      <c r="C20" s="45"/>
      <c r="D20" s="31"/>
      <c r="E20" s="31">
        <f t="shared" si="4"/>
        <v>0</v>
      </c>
      <c r="F20" s="45"/>
      <c r="G20" s="45"/>
      <c r="H20" s="45"/>
      <c r="I20" s="31">
        <f t="shared" si="5"/>
        <v>0</v>
      </c>
      <c r="J20" s="31">
        <f t="shared" si="6"/>
        <v>0</v>
      </c>
    </row>
    <row r="21" ht="15.75" customHeight="1">
      <c r="B21" s="31">
        <v>2.0</v>
      </c>
      <c r="C21" s="45"/>
      <c r="D21" s="31"/>
      <c r="E21" s="31">
        <f t="shared" si="4"/>
        <v>0</v>
      </c>
      <c r="F21" s="45"/>
      <c r="G21" s="45"/>
      <c r="H21" s="45"/>
      <c r="I21" s="31">
        <f t="shared" si="5"/>
        <v>0</v>
      </c>
      <c r="J21" s="31">
        <f t="shared" si="6"/>
        <v>0</v>
      </c>
    </row>
    <row r="22" ht="15.75" customHeight="1">
      <c r="B22" s="31">
        <v>2.0</v>
      </c>
      <c r="C22" s="45"/>
      <c r="D22" s="45"/>
      <c r="E22" s="31">
        <f t="shared" si="4"/>
        <v>0</v>
      </c>
      <c r="F22" s="45"/>
      <c r="G22" s="45"/>
      <c r="H22" s="45"/>
      <c r="I22" s="31">
        <f t="shared" si="5"/>
        <v>0</v>
      </c>
      <c r="J22" s="31">
        <f t="shared" si="6"/>
        <v>0</v>
      </c>
    </row>
    <row r="23" ht="15.75" customHeight="1">
      <c r="I23" s="21" t="s">
        <v>361</v>
      </c>
      <c r="J23" s="31">
        <f>SUM(J17:J22)</f>
        <v>4</v>
      </c>
    </row>
    <row r="24" ht="15.75" customHeight="1">
      <c r="I24" s="21" t="s">
        <v>366</v>
      </c>
      <c r="J24" s="31">
        <f>IF(J23&gt;5,3,IF(J23&gt;1,1,0))</f>
        <v>1</v>
      </c>
    </row>
    <row r="25" ht="15.75" customHeight="1"/>
    <row r="26" ht="15.75" customHeight="1">
      <c r="B26" s="5" t="s">
        <v>4</v>
      </c>
      <c r="C26" s="5" t="s">
        <v>265</v>
      </c>
      <c r="D26" s="3" t="s">
        <v>247</v>
      </c>
      <c r="E26" s="6"/>
      <c r="F26" s="8" t="s">
        <v>266</v>
      </c>
      <c r="G26" s="11"/>
      <c r="H26" s="11"/>
      <c r="I26" s="13"/>
      <c r="J26" s="5" t="s">
        <v>378</v>
      </c>
    </row>
    <row r="27" ht="15.75" customHeight="1">
      <c r="B27" s="20" t="s">
        <v>252</v>
      </c>
      <c r="C27" s="20"/>
      <c r="D27" s="21" t="s">
        <v>271</v>
      </c>
      <c r="E27" s="21" t="s">
        <v>382</v>
      </c>
      <c r="F27" s="21" t="s">
        <v>271</v>
      </c>
      <c r="G27" s="21" t="s">
        <v>275</v>
      </c>
      <c r="H27" s="21" t="s">
        <v>276</v>
      </c>
      <c r="I27" s="21" t="s">
        <v>340</v>
      </c>
      <c r="J27" s="20"/>
    </row>
    <row r="28" ht="15.75" customHeight="1">
      <c r="B28" s="31">
        <v>3.0</v>
      </c>
      <c r="C28" s="45"/>
      <c r="D28" s="31"/>
      <c r="E28" s="31">
        <f t="shared" ref="E28:E33" si="7">IF(D28="Asistente",$M$5,IF(D28="Expositor",$M$6,IF(D28="Organización",$M$7,IF(D28="Evaluador",$M$8,0))))</f>
        <v>0</v>
      </c>
      <c r="F28" s="31"/>
      <c r="G28" s="31"/>
      <c r="H28" s="31"/>
      <c r="I28" s="31">
        <f t="shared" ref="I28:I33" si="8">IF(F28="Resumen",IF(H28=0,$Q$5,$Q$6),IF(F28="Trabajo Extendido",IF(H28=0,$Q$7,$Q$8),IF(F28="Trabajo Completo",IF(H28=0,$Q$9,$Q$10),0)))</f>
        <v>0</v>
      </c>
      <c r="J28" s="31">
        <f t="shared" ref="J28:J33" si="9">E28+I28</f>
        <v>0</v>
      </c>
    </row>
    <row r="29" ht="15.75" customHeight="1">
      <c r="B29" s="31">
        <v>3.0</v>
      </c>
      <c r="C29" s="45"/>
      <c r="D29" s="31"/>
      <c r="E29" s="31">
        <f t="shared" si="7"/>
        <v>0</v>
      </c>
      <c r="F29" s="45"/>
      <c r="G29" s="31"/>
      <c r="H29" s="31"/>
      <c r="I29" s="31">
        <f t="shared" si="8"/>
        <v>0</v>
      </c>
      <c r="J29" s="31">
        <f t="shared" si="9"/>
        <v>0</v>
      </c>
    </row>
    <row r="30" ht="15.75" customHeight="1">
      <c r="B30" s="31">
        <v>3.0</v>
      </c>
      <c r="C30" s="45"/>
      <c r="D30" s="31"/>
      <c r="E30" s="31">
        <f t="shared" si="7"/>
        <v>0</v>
      </c>
      <c r="F30" s="45"/>
      <c r="G30" s="31"/>
      <c r="H30" s="31"/>
      <c r="I30" s="31">
        <f t="shared" si="8"/>
        <v>0</v>
      </c>
      <c r="J30" s="31">
        <f t="shared" si="9"/>
        <v>0</v>
      </c>
    </row>
    <row r="31" ht="15.75" customHeight="1">
      <c r="B31" s="31">
        <v>3.0</v>
      </c>
      <c r="C31" s="45"/>
      <c r="D31" s="31"/>
      <c r="E31" s="31">
        <f t="shared" si="7"/>
        <v>0</v>
      </c>
      <c r="F31" s="45"/>
      <c r="G31" s="45"/>
      <c r="H31" s="45"/>
      <c r="I31" s="31">
        <f t="shared" si="8"/>
        <v>0</v>
      </c>
      <c r="J31" s="31">
        <f t="shared" si="9"/>
        <v>0</v>
      </c>
    </row>
    <row r="32" ht="15.75" customHeight="1">
      <c r="B32" s="31">
        <v>3.0</v>
      </c>
      <c r="C32" s="45"/>
      <c r="D32" s="31"/>
      <c r="E32" s="31">
        <f t="shared" si="7"/>
        <v>0</v>
      </c>
      <c r="F32" s="45"/>
      <c r="G32" s="45"/>
      <c r="H32" s="45"/>
      <c r="I32" s="31">
        <f t="shared" si="8"/>
        <v>0</v>
      </c>
      <c r="J32" s="31">
        <f t="shared" si="9"/>
        <v>0</v>
      </c>
    </row>
    <row r="33" ht="15.75" customHeight="1">
      <c r="B33" s="31">
        <v>3.0</v>
      </c>
      <c r="C33" s="45"/>
      <c r="D33" s="45"/>
      <c r="E33" s="31">
        <f t="shared" si="7"/>
        <v>0</v>
      </c>
      <c r="F33" s="45"/>
      <c r="G33" s="45"/>
      <c r="H33" s="45"/>
      <c r="I33" s="31">
        <f t="shared" si="8"/>
        <v>0</v>
      </c>
      <c r="J33" s="31">
        <f t="shared" si="9"/>
        <v>0</v>
      </c>
    </row>
    <row r="34" ht="15.75" customHeight="1">
      <c r="I34" s="21" t="s">
        <v>409</v>
      </c>
      <c r="J34" s="31">
        <f>SUM(J28:J33)</f>
        <v>0</v>
      </c>
    </row>
    <row r="35" ht="15.75" customHeight="1">
      <c r="I35" s="21" t="s">
        <v>414</v>
      </c>
      <c r="J35" s="31">
        <f>IF(J34&gt;5,3,IF(J34&gt;1,1,0))</f>
        <v>0</v>
      </c>
    </row>
    <row r="36" ht="15.75" customHeight="1"/>
    <row r="37" ht="15.75" customHeight="1">
      <c r="B37" s="5" t="s">
        <v>4</v>
      </c>
      <c r="C37" s="5" t="s">
        <v>265</v>
      </c>
      <c r="D37" s="3" t="s">
        <v>247</v>
      </c>
      <c r="E37" s="6"/>
      <c r="F37" s="8" t="s">
        <v>266</v>
      </c>
      <c r="G37" s="11"/>
      <c r="H37" s="11"/>
      <c r="I37" s="13"/>
      <c r="J37" s="5" t="s">
        <v>424</v>
      </c>
    </row>
    <row r="38" ht="15.75" customHeight="1">
      <c r="B38" s="20" t="s">
        <v>252</v>
      </c>
      <c r="C38" s="20"/>
      <c r="D38" s="21" t="s">
        <v>271</v>
      </c>
      <c r="E38" s="21" t="s">
        <v>426</v>
      </c>
      <c r="F38" s="21" t="s">
        <v>271</v>
      </c>
      <c r="G38" s="21" t="s">
        <v>275</v>
      </c>
      <c r="H38" s="21" t="s">
        <v>276</v>
      </c>
      <c r="I38" s="21" t="s">
        <v>340</v>
      </c>
      <c r="J38" s="20"/>
    </row>
    <row r="39" ht="15.75" customHeight="1">
      <c r="B39" s="31">
        <v>4.0</v>
      </c>
      <c r="C39" s="45" t="s">
        <v>281</v>
      </c>
      <c r="D39" s="31" t="s">
        <v>278</v>
      </c>
      <c r="E39" s="31">
        <f t="shared" ref="E39:E44" si="10">IF(D39="Asistente",$M$5,IF(D39="Expositor",$M$6,IF(D39="Organización",$M$7,IF(D39="Evaluador",$M$8,0))))</f>
        <v>1</v>
      </c>
      <c r="F39" s="31" t="s">
        <v>280</v>
      </c>
      <c r="G39" s="31" t="s">
        <v>286</v>
      </c>
      <c r="H39" s="31">
        <v>1.0</v>
      </c>
      <c r="I39" s="31">
        <f t="shared" ref="I39:I44" si="11">IF(F39="Resumen",IF(H39=0,$Q$5,$Q$6),IF(F39="Trabajo Extendido",IF(H39=0,$Q$7,$Q$8),IF(F39="Trabajo Completo",IF(H39=0,$Q$9,$Q$10),0)))</f>
        <v>3</v>
      </c>
      <c r="J39" s="31">
        <f t="shared" ref="J39:J44" si="12">E39+I39</f>
        <v>4</v>
      </c>
    </row>
    <row r="40" ht="15.75" customHeight="1">
      <c r="B40" s="31">
        <v>4.0</v>
      </c>
      <c r="C40" s="45" t="s">
        <v>222</v>
      </c>
      <c r="D40" s="31" t="s">
        <v>299</v>
      </c>
      <c r="E40" s="31">
        <f t="shared" si="10"/>
        <v>3</v>
      </c>
      <c r="F40" s="45" t="s">
        <v>301</v>
      </c>
      <c r="G40" s="31" t="s">
        <v>286</v>
      </c>
      <c r="H40" s="31">
        <v>1.0</v>
      </c>
      <c r="I40" s="31">
        <f t="shared" si="11"/>
        <v>5</v>
      </c>
      <c r="J40" s="31">
        <f t="shared" si="12"/>
        <v>8</v>
      </c>
    </row>
    <row r="41" ht="15.75" customHeight="1">
      <c r="B41" s="31">
        <v>4.0</v>
      </c>
      <c r="C41" s="45" t="s">
        <v>307</v>
      </c>
      <c r="D41" s="31" t="s">
        <v>299</v>
      </c>
      <c r="E41" s="31">
        <f t="shared" si="10"/>
        <v>3</v>
      </c>
      <c r="F41" s="45" t="s">
        <v>310</v>
      </c>
      <c r="G41" s="31" t="s">
        <v>286</v>
      </c>
      <c r="H41" s="31">
        <v>1.0</v>
      </c>
      <c r="I41" s="31">
        <f t="shared" si="11"/>
        <v>8</v>
      </c>
      <c r="J41" s="31">
        <f t="shared" si="12"/>
        <v>11</v>
      </c>
    </row>
    <row r="42" ht="15.75" customHeight="1">
      <c r="B42" s="31">
        <v>4.0</v>
      </c>
      <c r="C42" s="45" t="s">
        <v>315</v>
      </c>
      <c r="D42" s="31" t="s">
        <v>302</v>
      </c>
      <c r="E42" s="31">
        <f t="shared" si="10"/>
        <v>4</v>
      </c>
      <c r="F42" s="45"/>
      <c r="G42" s="45"/>
      <c r="H42" s="45"/>
      <c r="I42" s="31">
        <f t="shared" si="11"/>
        <v>0</v>
      </c>
      <c r="J42" s="31">
        <f t="shared" si="12"/>
        <v>4</v>
      </c>
    </row>
    <row r="43" ht="15.75" customHeight="1">
      <c r="B43" s="31">
        <v>4.0</v>
      </c>
      <c r="C43" s="45" t="s">
        <v>317</v>
      </c>
      <c r="D43" s="31" t="s">
        <v>313</v>
      </c>
      <c r="E43" s="31">
        <f t="shared" si="10"/>
        <v>5</v>
      </c>
      <c r="F43" s="45"/>
      <c r="G43" s="45"/>
      <c r="H43" s="45"/>
      <c r="I43" s="31">
        <f t="shared" si="11"/>
        <v>0</v>
      </c>
      <c r="J43" s="31">
        <f t="shared" si="12"/>
        <v>5</v>
      </c>
    </row>
    <row r="44" ht="15.75" customHeight="1">
      <c r="B44" s="31">
        <v>4.0</v>
      </c>
      <c r="C44" s="45"/>
      <c r="D44" s="45"/>
      <c r="E44" s="31">
        <f t="shared" si="10"/>
        <v>0</v>
      </c>
      <c r="F44" s="45"/>
      <c r="G44" s="45"/>
      <c r="H44" s="45"/>
      <c r="I44" s="31">
        <f t="shared" si="11"/>
        <v>0</v>
      </c>
      <c r="J44" s="31">
        <f t="shared" si="12"/>
        <v>0</v>
      </c>
    </row>
    <row r="45" ht="15.75" customHeight="1">
      <c r="I45" s="21" t="s">
        <v>432</v>
      </c>
      <c r="J45" s="31">
        <f>SUM(J39:J44)</f>
        <v>32</v>
      </c>
    </row>
    <row r="46" ht="15.75" customHeight="1">
      <c r="I46" s="21" t="s">
        <v>434</v>
      </c>
      <c r="J46" s="31">
        <f>IF(J45&gt;5,3,IF(J45&gt;1,1,0))</f>
        <v>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4:E4"/>
    <mergeCell ref="F4:I4"/>
    <mergeCell ref="D15:E15"/>
    <mergeCell ref="F15:I15"/>
    <mergeCell ref="D26:E26"/>
    <mergeCell ref="F26:I26"/>
    <mergeCell ref="D37:E37"/>
    <mergeCell ref="F37:I3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.0"/>
    <col customWidth="1" min="2" max="4" width="10.5"/>
    <col customWidth="1" min="5" max="5" width="18.9"/>
    <col customWidth="1" min="6" max="6" width="10.5"/>
    <col customWidth="1" min="7" max="7" width="4.4"/>
    <col customWidth="1" min="8" max="8" width="24.8"/>
    <col customWidth="1" min="9" max="9" width="25.4"/>
    <col customWidth="1" min="10" max="10" width="6.8"/>
    <col customWidth="1" min="11" max="11" width="16.3"/>
    <col customWidth="1" min="12" max="12" width="16.8"/>
    <col customWidth="1" min="13" max="26" width="10.5"/>
  </cols>
  <sheetData>
    <row r="2">
      <c r="B2" s="75" t="s">
        <v>283</v>
      </c>
      <c r="H2" s="78" t="s">
        <v>284</v>
      </c>
      <c r="K2" s="78" t="s">
        <v>285</v>
      </c>
      <c r="L2" s="70"/>
    </row>
    <row r="3">
      <c r="B3" s="21" t="s">
        <v>4</v>
      </c>
      <c r="C3" s="21" t="s">
        <v>288</v>
      </c>
      <c r="D3" s="21" t="s">
        <v>289</v>
      </c>
      <c r="E3" s="21" t="s">
        <v>290</v>
      </c>
      <c r="F3" s="21" t="s">
        <v>291</v>
      </c>
      <c r="H3" s="5" t="s">
        <v>269</v>
      </c>
      <c r="I3" s="5" t="s">
        <v>292</v>
      </c>
      <c r="K3" s="21" t="s">
        <v>293</v>
      </c>
      <c r="L3" s="21" t="s">
        <v>294</v>
      </c>
    </row>
    <row r="4">
      <c r="B4" s="36">
        <v>1.0</v>
      </c>
      <c r="C4" s="36" t="s">
        <v>295</v>
      </c>
      <c r="D4" s="102" t="s">
        <v>296</v>
      </c>
      <c r="E4" s="102" t="s">
        <v>298</v>
      </c>
      <c r="F4" s="36">
        <f t="shared" ref="F4:F7" si="1">IF(E4="Director",I$4,IF(E4="Codirector",$I$5,IF(E4="Participante",$I$6,IF(E4="Evaluador",$I$7,0))))</f>
        <v>8</v>
      </c>
      <c r="H4" s="30" t="s">
        <v>298</v>
      </c>
      <c r="I4" s="30">
        <v>8.0</v>
      </c>
      <c r="K4" s="31">
        <v>0.0</v>
      </c>
      <c r="L4" s="31">
        <v>0.0</v>
      </c>
    </row>
    <row r="5">
      <c r="B5" s="36">
        <v>1.0</v>
      </c>
      <c r="C5" s="36" t="s">
        <v>303</v>
      </c>
      <c r="D5" s="102" t="s">
        <v>296</v>
      </c>
      <c r="E5" s="102" t="s">
        <v>304</v>
      </c>
      <c r="F5" s="36">
        <f t="shared" si="1"/>
        <v>5</v>
      </c>
      <c r="H5" s="36" t="s">
        <v>304</v>
      </c>
      <c r="I5" s="36">
        <v>5.0</v>
      </c>
      <c r="K5" s="83" t="s">
        <v>306</v>
      </c>
      <c r="L5" s="31">
        <v>1.0</v>
      </c>
    </row>
    <row r="6">
      <c r="B6" s="36">
        <v>1.0</v>
      </c>
      <c r="C6" s="36" t="s">
        <v>308</v>
      </c>
      <c r="D6" s="102" t="s">
        <v>296</v>
      </c>
      <c r="E6" s="102" t="s">
        <v>309</v>
      </c>
      <c r="F6" s="36">
        <f t="shared" si="1"/>
        <v>1</v>
      </c>
      <c r="H6" s="36" t="s">
        <v>309</v>
      </c>
      <c r="I6" s="36">
        <v>1.0</v>
      </c>
      <c r="K6" s="31" t="s">
        <v>311</v>
      </c>
      <c r="L6" s="31">
        <v>3.0</v>
      </c>
    </row>
    <row r="7">
      <c r="B7" s="57">
        <v>1.0</v>
      </c>
      <c r="C7" s="57" t="s">
        <v>312</v>
      </c>
      <c r="D7" s="103" t="s">
        <v>296</v>
      </c>
      <c r="E7" s="103" t="s">
        <v>313</v>
      </c>
      <c r="F7" s="36">
        <f t="shared" si="1"/>
        <v>5</v>
      </c>
      <c r="H7" s="57" t="s">
        <v>313</v>
      </c>
      <c r="I7" s="57">
        <v>5.0</v>
      </c>
    </row>
    <row r="8">
      <c r="E8" s="21" t="s">
        <v>314</v>
      </c>
      <c r="F8" s="31">
        <f>SUM(F4:F7)</f>
        <v>19</v>
      </c>
    </row>
    <row r="9">
      <c r="E9" s="21" t="s">
        <v>316</v>
      </c>
      <c r="F9" s="31">
        <f>IF(F8&gt;8,3,IF(F8&gt;0,1,0))</f>
        <v>3</v>
      </c>
    </row>
    <row r="11">
      <c r="B11" s="21" t="s">
        <v>4</v>
      </c>
      <c r="C11" s="21" t="s">
        <v>288</v>
      </c>
      <c r="D11" s="21" t="s">
        <v>289</v>
      </c>
      <c r="E11" s="21" t="s">
        <v>290</v>
      </c>
      <c r="F11" s="21" t="s">
        <v>318</v>
      </c>
    </row>
    <row r="12">
      <c r="B12" s="36">
        <v>2.0</v>
      </c>
      <c r="C12" s="36" t="s">
        <v>319</v>
      </c>
      <c r="D12" s="102" t="s">
        <v>296</v>
      </c>
      <c r="E12" s="102" t="s">
        <v>298</v>
      </c>
      <c r="F12" s="36">
        <f t="shared" ref="F12:F15" si="2">IF(E12="Director",I$4,IF(E12="Codirector",$I$5,IF(E12="Participante",$I$6,IF(E12="Evaluador",$I$7,0))))</f>
        <v>8</v>
      </c>
    </row>
    <row r="13">
      <c r="B13" s="36">
        <v>2.0</v>
      </c>
      <c r="C13" s="36" t="s">
        <v>322</v>
      </c>
      <c r="D13" s="102" t="s">
        <v>296</v>
      </c>
      <c r="E13" s="102" t="s">
        <v>304</v>
      </c>
      <c r="F13" s="36">
        <f t="shared" si="2"/>
        <v>5</v>
      </c>
    </row>
    <row r="14">
      <c r="B14" s="36">
        <v>2.0</v>
      </c>
      <c r="C14" s="36"/>
      <c r="D14" s="102"/>
      <c r="E14" s="102"/>
      <c r="F14" s="36">
        <f t="shared" si="2"/>
        <v>0</v>
      </c>
    </row>
    <row r="15">
      <c r="B15" s="57">
        <v>2.0</v>
      </c>
      <c r="C15" s="57"/>
      <c r="D15" s="103"/>
      <c r="E15" s="103"/>
      <c r="F15" s="36">
        <f t="shared" si="2"/>
        <v>0</v>
      </c>
    </row>
    <row r="16">
      <c r="E16" s="21" t="s">
        <v>324</v>
      </c>
      <c r="F16" s="31">
        <f>SUM(F12:F15)</f>
        <v>13</v>
      </c>
    </row>
    <row r="17">
      <c r="E17" s="21" t="s">
        <v>326</v>
      </c>
      <c r="F17" s="31">
        <f>IF(F16&gt;8,3,IF(F16&gt;0,1,0))</f>
        <v>3</v>
      </c>
    </row>
    <row r="20">
      <c r="B20" s="21" t="s">
        <v>4</v>
      </c>
      <c r="C20" s="21" t="s">
        <v>288</v>
      </c>
      <c r="D20" s="21" t="s">
        <v>289</v>
      </c>
      <c r="E20" s="21" t="s">
        <v>290</v>
      </c>
      <c r="F20" s="21" t="s">
        <v>328</v>
      </c>
    </row>
    <row r="21" ht="15.75" customHeight="1">
      <c r="B21" s="36">
        <v>3.0</v>
      </c>
      <c r="C21" s="36" t="s">
        <v>329</v>
      </c>
      <c r="D21" s="102" t="s">
        <v>296</v>
      </c>
      <c r="E21" s="102" t="s">
        <v>309</v>
      </c>
      <c r="F21" s="36">
        <f t="shared" ref="F21:F24" si="3">IF(E21="Director",I$4,IF(E21="Codirector",$I$5,IF(E21="Participante",$I$6,IF(E21="Evaluador",$I$7,0))))</f>
        <v>1</v>
      </c>
    </row>
    <row r="22" ht="15.75" customHeight="1">
      <c r="B22" s="36">
        <v>3.0</v>
      </c>
      <c r="C22" s="36"/>
      <c r="D22" s="102"/>
      <c r="E22" s="102"/>
      <c r="F22" s="36">
        <f t="shared" si="3"/>
        <v>0</v>
      </c>
    </row>
    <row r="23" ht="15.75" customHeight="1">
      <c r="B23" s="36">
        <v>3.0</v>
      </c>
      <c r="C23" s="36"/>
      <c r="D23" s="102"/>
      <c r="E23" s="102"/>
      <c r="F23" s="36">
        <f t="shared" si="3"/>
        <v>0</v>
      </c>
    </row>
    <row r="24" ht="15.75" customHeight="1">
      <c r="B24" s="57">
        <v>3.0</v>
      </c>
      <c r="C24" s="57"/>
      <c r="D24" s="103"/>
      <c r="E24" s="103"/>
      <c r="F24" s="36">
        <f t="shared" si="3"/>
        <v>0</v>
      </c>
    </row>
    <row r="25" ht="15.75" customHeight="1">
      <c r="E25" s="21" t="s">
        <v>337</v>
      </c>
      <c r="F25" s="31">
        <f>SUM(F21:F24)</f>
        <v>1</v>
      </c>
    </row>
    <row r="26" ht="15.75" customHeight="1">
      <c r="E26" s="21" t="s">
        <v>338</v>
      </c>
      <c r="F26" s="31">
        <f>IF(F25&gt;8,3,IF(F25&gt;0,1,0))</f>
        <v>1</v>
      </c>
    </row>
    <row r="27" ht="15.75" customHeight="1"/>
    <row r="28" ht="15.75" customHeight="1">
      <c r="B28" s="21" t="s">
        <v>4</v>
      </c>
      <c r="C28" s="21" t="s">
        <v>288</v>
      </c>
      <c r="D28" s="21" t="s">
        <v>289</v>
      </c>
      <c r="E28" s="21" t="s">
        <v>290</v>
      </c>
      <c r="F28" s="21" t="s">
        <v>341</v>
      </c>
    </row>
    <row r="29" ht="15.75" customHeight="1">
      <c r="B29" s="36">
        <v>4.0</v>
      </c>
      <c r="C29" s="36"/>
      <c r="D29" s="102"/>
      <c r="E29" s="102"/>
      <c r="F29" s="36">
        <f t="shared" ref="F29:F32" si="4">IF(E29="Director",I$4,IF(E29="Codirector",$I$5,IF(E29="Participante",$I$6,IF(E29="Evaluador",$I$7,0))))</f>
        <v>0</v>
      </c>
    </row>
    <row r="30" ht="15.75" customHeight="1">
      <c r="B30" s="36">
        <v>4.0</v>
      </c>
      <c r="C30" s="36"/>
      <c r="D30" s="102"/>
      <c r="E30" s="102"/>
      <c r="F30" s="36">
        <f t="shared" si="4"/>
        <v>0</v>
      </c>
    </row>
    <row r="31" ht="15.75" customHeight="1">
      <c r="B31" s="36">
        <v>4.0</v>
      </c>
      <c r="C31" s="36"/>
      <c r="D31" s="102"/>
      <c r="E31" s="102"/>
      <c r="F31" s="36">
        <f t="shared" si="4"/>
        <v>0</v>
      </c>
    </row>
    <row r="32" ht="15.75" customHeight="1">
      <c r="B32" s="57">
        <v>4.0</v>
      </c>
      <c r="C32" s="57"/>
      <c r="D32" s="103"/>
      <c r="E32" s="103"/>
      <c r="F32" s="36">
        <f t="shared" si="4"/>
        <v>0</v>
      </c>
    </row>
    <row r="33" ht="15.75" customHeight="1">
      <c r="E33" s="21" t="s">
        <v>342</v>
      </c>
      <c r="F33" s="31">
        <f>SUM(F29:F32)</f>
        <v>0</v>
      </c>
    </row>
    <row r="34" ht="15.75" customHeight="1">
      <c r="E34" s="21" t="s">
        <v>343</v>
      </c>
      <c r="F34" s="31">
        <f>IF(F33&gt;8,3,IF(F33&gt;0,1,0))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3"/>
    <col customWidth="1" min="2" max="3" width="10.5"/>
    <col customWidth="1" min="4" max="4" width="16.1"/>
    <col customWidth="1" min="5" max="6" width="10.5"/>
    <col customWidth="1" min="7" max="7" width="20.3"/>
    <col customWidth="1" min="8" max="8" width="32.9"/>
    <col customWidth="1" min="9" max="10" width="10.5"/>
    <col customWidth="1" min="11" max="11" width="22.0"/>
    <col customWidth="1" min="12" max="26" width="10.5"/>
  </cols>
  <sheetData>
    <row r="2">
      <c r="B2" s="75" t="s">
        <v>344</v>
      </c>
      <c r="G2" s="78" t="s">
        <v>345</v>
      </c>
      <c r="J2" s="78" t="s">
        <v>346</v>
      </c>
      <c r="K2" s="70"/>
    </row>
    <row r="3">
      <c r="B3" s="21" t="s">
        <v>4</v>
      </c>
      <c r="C3" s="21" t="s">
        <v>67</v>
      </c>
      <c r="D3" s="21" t="s">
        <v>347</v>
      </c>
      <c r="E3" s="21" t="s">
        <v>348</v>
      </c>
      <c r="G3" s="21" t="s">
        <v>67</v>
      </c>
      <c r="H3" s="21" t="s">
        <v>248</v>
      </c>
      <c r="J3" s="21" t="s">
        <v>350</v>
      </c>
      <c r="K3" s="21" t="s">
        <v>351</v>
      </c>
    </row>
    <row r="4">
      <c r="B4" s="36">
        <v>1.0</v>
      </c>
      <c r="C4" s="36" t="s">
        <v>152</v>
      </c>
      <c r="D4" s="102" t="s">
        <v>353</v>
      </c>
      <c r="E4" s="36">
        <f t="shared" ref="E4:E8" si="1">IF(C4="Docente",$H$4,IF(C4="Adscripto",$H$5,IF(C4="Pasante",$H$6,IF(C4="Concurrencia",$H$7,0))))</f>
        <v>10</v>
      </c>
      <c r="G4" s="31" t="s">
        <v>152</v>
      </c>
      <c r="H4" s="31">
        <v>10.0</v>
      </c>
      <c r="J4" s="31">
        <v>0.0</v>
      </c>
      <c r="K4" s="31">
        <v>0.0</v>
      </c>
    </row>
    <row r="5">
      <c r="B5" s="36">
        <v>1.0</v>
      </c>
      <c r="C5" s="36" t="s">
        <v>363</v>
      </c>
      <c r="D5" s="102" t="s">
        <v>364</v>
      </c>
      <c r="E5" s="36">
        <f t="shared" si="1"/>
        <v>5</v>
      </c>
      <c r="G5" s="105" t="s">
        <v>363</v>
      </c>
      <c r="H5" s="31">
        <v>5.0</v>
      </c>
      <c r="J5" s="83" t="s">
        <v>365</v>
      </c>
      <c r="K5" s="31">
        <v>1.0</v>
      </c>
    </row>
    <row r="6">
      <c r="B6" s="36">
        <v>1.0</v>
      </c>
      <c r="C6" s="36" t="s">
        <v>368</v>
      </c>
      <c r="D6" s="102" t="s">
        <v>369</v>
      </c>
      <c r="E6" s="36">
        <f t="shared" si="1"/>
        <v>3</v>
      </c>
      <c r="G6" s="105" t="s">
        <v>368</v>
      </c>
      <c r="H6" s="31">
        <v>3.0</v>
      </c>
      <c r="J6" s="31" t="s">
        <v>370</v>
      </c>
      <c r="K6" s="31">
        <v>3.0</v>
      </c>
    </row>
    <row r="7">
      <c r="B7" s="36">
        <v>1.0</v>
      </c>
      <c r="C7" s="36" t="s">
        <v>371</v>
      </c>
      <c r="D7" s="102" t="s">
        <v>372</v>
      </c>
      <c r="E7" s="36">
        <f t="shared" si="1"/>
        <v>3</v>
      </c>
      <c r="G7" s="105" t="s">
        <v>371</v>
      </c>
      <c r="H7" s="31">
        <v>3.0</v>
      </c>
    </row>
    <row r="8">
      <c r="B8" s="57">
        <v>1.0</v>
      </c>
      <c r="C8" s="57"/>
      <c r="D8" s="103"/>
      <c r="E8" s="36">
        <f t="shared" si="1"/>
        <v>0</v>
      </c>
      <c r="G8" s="106"/>
      <c r="H8" s="29"/>
    </row>
    <row r="9">
      <c r="D9" s="20" t="s">
        <v>376</v>
      </c>
      <c r="E9" s="31">
        <f>SUM(E4:E8)</f>
        <v>21</v>
      </c>
    </row>
    <row r="10">
      <c r="D10" s="21" t="s">
        <v>380</v>
      </c>
      <c r="E10" s="31">
        <f>IF(E9&gt;15,3,IF(E9&gt;0,1,0))</f>
        <v>3</v>
      </c>
    </row>
    <row r="13">
      <c r="B13" s="21" t="s">
        <v>4</v>
      </c>
      <c r="C13" s="21" t="s">
        <v>67</v>
      </c>
      <c r="D13" s="21" t="s">
        <v>347</v>
      </c>
      <c r="E13" s="21" t="s">
        <v>385</v>
      </c>
    </row>
    <row r="14">
      <c r="B14" s="36">
        <v>2.0</v>
      </c>
      <c r="C14" s="36" t="s">
        <v>152</v>
      </c>
      <c r="D14" s="102" t="s">
        <v>353</v>
      </c>
      <c r="E14" s="36">
        <f t="shared" ref="E14:E18" si="2">IF(C14="Docente",$H$4,IF(C14="Adscripto",$H$5,IF(C14="Pasante",$H$6,IF(C14="Concurrencia",$H$7,0))))</f>
        <v>10</v>
      </c>
    </row>
    <row r="15">
      <c r="B15" s="36">
        <v>2.0</v>
      </c>
      <c r="C15" s="36" t="s">
        <v>152</v>
      </c>
      <c r="D15" s="102" t="s">
        <v>364</v>
      </c>
      <c r="E15" s="36">
        <f t="shared" si="2"/>
        <v>10</v>
      </c>
    </row>
    <row r="16">
      <c r="B16" s="36">
        <v>2.0</v>
      </c>
      <c r="C16" s="36" t="s">
        <v>152</v>
      </c>
      <c r="D16" s="102" t="s">
        <v>369</v>
      </c>
      <c r="E16" s="36">
        <f t="shared" si="2"/>
        <v>10</v>
      </c>
    </row>
    <row r="17">
      <c r="B17" s="36">
        <v>2.0</v>
      </c>
      <c r="C17" s="36" t="s">
        <v>371</v>
      </c>
      <c r="D17" s="102" t="s">
        <v>372</v>
      </c>
      <c r="E17" s="36">
        <f t="shared" si="2"/>
        <v>3</v>
      </c>
    </row>
    <row r="18">
      <c r="B18" s="57">
        <v>2.0</v>
      </c>
      <c r="C18" s="57"/>
      <c r="D18" s="103"/>
      <c r="E18" s="36">
        <f t="shared" si="2"/>
        <v>0</v>
      </c>
    </row>
    <row r="19">
      <c r="D19" s="20" t="s">
        <v>392</v>
      </c>
      <c r="E19" s="31">
        <f>SUM(E14:E18)</f>
        <v>33</v>
      </c>
    </row>
    <row r="20">
      <c r="D20" s="21" t="s">
        <v>393</v>
      </c>
      <c r="E20" s="31">
        <f>IF(E19&gt;15,3,IF(E19&gt;0,1,0))</f>
        <v>3</v>
      </c>
    </row>
    <row r="21" ht="15.75" customHeight="1"/>
    <row r="22" ht="15.75" customHeight="1">
      <c r="B22" s="21" t="s">
        <v>4</v>
      </c>
      <c r="C22" s="21" t="s">
        <v>67</v>
      </c>
      <c r="D22" s="21" t="s">
        <v>347</v>
      </c>
      <c r="E22" s="21" t="s">
        <v>394</v>
      </c>
    </row>
    <row r="23" ht="15.75" customHeight="1">
      <c r="B23" s="36">
        <v>3.0</v>
      </c>
      <c r="C23" s="36" t="s">
        <v>152</v>
      </c>
      <c r="D23" s="102" t="s">
        <v>353</v>
      </c>
      <c r="E23" s="36">
        <f t="shared" ref="E23:E27" si="3">IF(C23="Docente",$H$4,IF(C23="Adscripto",$H$5,IF(C23="Pasante",$H$6,IF(C23="Concurrencia",$H$7,0))))</f>
        <v>10</v>
      </c>
    </row>
    <row r="24" ht="15.75" customHeight="1">
      <c r="B24" s="36">
        <v>3.0</v>
      </c>
      <c r="C24" s="36"/>
      <c r="D24" s="102"/>
      <c r="E24" s="36">
        <f t="shared" si="3"/>
        <v>0</v>
      </c>
    </row>
    <row r="25" ht="15.75" customHeight="1">
      <c r="B25" s="36">
        <v>3.0</v>
      </c>
      <c r="C25" s="36"/>
      <c r="D25" s="102"/>
      <c r="E25" s="36">
        <f t="shared" si="3"/>
        <v>0</v>
      </c>
    </row>
    <row r="26" ht="15.75" customHeight="1">
      <c r="B26" s="36">
        <v>3.0</v>
      </c>
      <c r="C26" s="36"/>
      <c r="D26" s="102"/>
      <c r="E26" s="36">
        <f t="shared" si="3"/>
        <v>0</v>
      </c>
    </row>
    <row r="27" ht="15.75" customHeight="1">
      <c r="B27" s="57">
        <v>3.0</v>
      </c>
      <c r="C27" s="57"/>
      <c r="D27" s="103"/>
      <c r="E27" s="36">
        <f t="shared" si="3"/>
        <v>0</v>
      </c>
    </row>
    <row r="28" ht="15.75" customHeight="1">
      <c r="D28" s="20" t="s">
        <v>401</v>
      </c>
      <c r="E28" s="31">
        <f>SUM(E23:E27)</f>
        <v>10</v>
      </c>
    </row>
    <row r="29" ht="15.75" customHeight="1">
      <c r="D29" s="21" t="s">
        <v>403</v>
      </c>
      <c r="E29" s="31">
        <f>IF(E28&gt;15,3,IF(E28&gt;0,1,0))</f>
        <v>1</v>
      </c>
    </row>
    <row r="30" ht="15.75" customHeight="1"/>
    <row r="31" ht="15.75" customHeight="1">
      <c r="B31" s="21" t="s">
        <v>4</v>
      </c>
      <c r="C31" s="21" t="s">
        <v>67</v>
      </c>
      <c r="D31" s="21" t="s">
        <v>347</v>
      </c>
      <c r="E31" s="21" t="s">
        <v>411</v>
      </c>
    </row>
    <row r="32" ht="15.75" customHeight="1">
      <c r="B32" s="36">
        <v>4.0</v>
      </c>
      <c r="C32" s="36"/>
      <c r="D32" s="102"/>
      <c r="E32" s="36">
        <f t="shared" ref="E32:E36" si="4">IF(C32="Docente",$H$4,IF(C32="Adscripto",$H$5,IF(C32="Pasante",$H$6,IF(C32="Concurrencia",$H$7,0))))</f>
        <v>0</v>
      </c>
    </row>
    <row r="33" ht="15.75" customHeight="1">
      <c r="B33" s="36">
        <v>4.0</v>
      </c>
      <c r="C33" s="36"/>
      <c r="D33" s="102"/>
      <c r="E33" s="36">
        <f t="shared" si="4"/>
        <v>0</v>
      </c>
    </row>
    <row r="34" ht="15.75" customHeight="1">
      <c r="B34" s="36">
        <v>4.0</v>
      </c>
      <c r="C34" s="36"/>
      <c r="D34" s="102"/>
      <c r="E34" s="36">
        <f t="shared" si="4"/>
        <v>0</v>
      </c>
    </row>
    <row r="35" ht="15.75" customHeight="1">
      <c r="B35" s="36">
        <v>4.0</v>
      </c>
      <c r="C35" s="36"/>
      <c r="D35" s="102"/>
      <c r="E35" s="36">
        <f t="shared" si="4"/>
        <v>0</v>
      </c>
    </row>
    <row r="36" ht="15.75" customHeight="1">
      <c r="B36" s="57">
        <v>4.0</v>
      </c>
      <c r="C36" s="57"/>
      <c r="D36" s="103"/>
      <c r="E36" s="36">
        <f t="shared" si="4"/>
        <v>0</v>
      </c>
    </row>
    <row r="37" ht="15.75" customHeight="1">
      <c r="D37" s="20" t="s">
        <v>427</v>
      </c>
      <c r="E37" s="31">
        <f>SUM(E32:E36)</f>
        <v>0</v>
      </c>
    </row>
    <row r="38" ht="15.75" customHeight="1">
      <c r="D38" s="21" t="s">
        <v>428</v>
      </c>
      <c r="E38" s="31">
        <f>IF(E37&gt;15,3,IF(E37&gt;0,1,0))</f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.2"/>
    <col customWidth="1" min="2" max="3" width="10.5"/>
    <col customWidth="1" min="4" max="4" width="27.0"/>
    <col customWidth="1" min="5" max="5" width="15.2"/>
    <col customWidth="1" min="6" max="6" width="13.8"/>
    <col customWidth="1" min="7" max="10" width="10.5"/>
    <col customWidth="1" min="11" max="11" width="23.8"/>
    <col customWidth="1" min="12" max="12" width="24.9"/>
    <col customWidth="1" min="13" max="13" width="10.5"/>
    <col customWidth="1" min="14" max="14" width="13.7"/>
    <col customWidth="1" min="15" max="15" width="18.8"/>
    <col customWidth="1" min="16" max="26" width="10.5"/>
  </cols>
  <sheetData>
    <row r="2">
      <c r="B2" s="75" t="s">
        <v>349</v>
      </c>
      <c r="K2" s="78" t="s">
        <v>352</v>
      </c>
    </row>
    <row r="3">
      <c r="B3" s="21" t="s">
        <v>4</v>
      </c>
      <c r="C3" s="21" t="s">
        <v>6</v>
      </c>
      <c r="D3" s="21" t="s">
        <v>354</v>
      </c>
      <c r="E3" s="21" t="s">
        <v>355</v>
      </c>
      <c r="F3" s="21" t="s">
        <v>356</v>
      </c>
      <c r="G3" s="21" t="s">
        <v>357</v>
      </c>
      <c r="H3" s="21" t="s">
        <v>358</v>
      </c>
      <c r="I3" s="21" t="s">
        <v>359</v>
      </c>
      <c r="K3" s="21" t="s">
        <v>355</v>
      </c>
      <c r="L3" s="21" t="s">
        <v>340</v>
      </c>
      <c r="N3" s="78" t="s">
        <v>360</v>
      </c>
      <c r="O3" s="70"/>
    </row>
    <row r="4">
      <c r="B4" s="36">
        <v>1.0</v>
      </c>
      <c r="C4" s="36" t="s">
        <v>73</v>
      </c>
      <c r="D4" s="102" t="s">
        <v>76</v>
      </c>
      <c r="E4" s="102" t="s">
        <v>362</v>
      </c>
      <c r="F4" s="36">
        <f t="shared" ref="F4:F8" si="1">IF(E4="Apuntes de clase",L$4,IF(E4="Trabajo Práctico",$L$5,IF(E4="Entorno Virtual",$L$6,0)))</f>
        <v>8</v>
      </c>
      <c r="G4" s="102" t="s">
        <v>367</v>
      </c>
      <c r="H4" s="36">
        <f t="shared" ref="H4:H8" si="2">IF(G4="Desarrollo",$L$12,IF(G4="Actualización",$L$13,0))</f>
        <v>1</v>
      </c>
      <c r="I4" s="36">
        <f t="shared" ref="I4:I8" si="3">F4*H4</f>
        <v>8</v>
      </c>
      <c r="K4" s="36" t="s">
        <v>373</v>
      </c>
      <c r="L4" s="36">
        <v>8.0</v>
      </c>
      <c r="N4" s="21" t="s">
        <v>374</v>
      </c>
      <c r="O4" s="21" t="s">
        <v>375</v>
      </c>
    </row>
    <row r="5">
      <c r="B5" s="36">
        <v>1.0</v>
      </c>
      <c r="C5" s="36" t="s">
        <v>73</v>
      </c>
      <c r="D5" s="102" t="s">
        <v>76</v>
      </c>
      <c r="E5" s="102" t="s">
        <v>377</v>
      </c>
      <c r="F5" s="36">
        <f t="shared" si="1"/>
        <v>5</v>
      </c>
      <c r="G5" s="102" t="s">
        <v>379</v>
      </c>
      <c r="H5" s="36">
        <f t="shared" si="2"/>
        <v>5</v>
      </c>
      <c r="I5" s="36">
        <f t="shared" si="3"/>
        <v>25</v>
      </c>
      <c r="K5" s="36" t="s">
        <v>377</v>
      </c>
      <c r="L5" s="36">
        <v>5.0</v>
      </c>
      <c r="N5" s="31" t="s">
        <v>381</v>
      </c>
      <c r="O5" s="31">
        <v>0.0</v>
      </c>
    </row>
    <row r="6">
      <c r="B6" s="36">
        <v>1.0</v>
      </c>
      <c r="C6" s="36" t="s">
        <v>80</v>
      </c>
      <c r="D6" s="102" t="s">
        <v>383</v>
      </c>
      <c r="E6" s="102" t="s">
        <v>384</v>
      </c>
      <c r="F6" s="36">
        <f t="shared" si="1"/>
        <v>8</v>
      </c>
      <c r="G6" s="102" t="s">
        <v>367</v>
      </c>
      <c r="H6" s="36">
        <f t="shared" si="2"/>
        <v>1</v>
      </c>
      <c r="I6" s="36">
        <f t="shared" si="3"/>
        <v>8</v>
      </c>
      <c r="K6" s="57" t="s">
        <v>384</v>
      </c>
      <c r="L6" s="57">
        <v>8.0</v>
      </c>
      <c r="N6" s="107">
        <v>20.0</v>
      </c>
      <c r="O6" s="31">
        <v>1.0</v>
      </c>
    </row>
    <row r="7">
      <c r="B7" s="36">
        <v>1.0</v>
      </c>
      <c r="C7" s="36"/>
      <c r="D7" s="102"/>
      <c r="E7" s="102"/>
      <c r="F7" s="36">
        <f t="shared" si="1"/>
        <v>0</v>
      </c>
      <c r="G7" s="102"/>
      <c r="H7" s="36">
        <f t="shared" si="2"/>
        <v>0</v>
      </c>
      <c r="I7" s="36">
        <f t="shared" si="3"/>
        <v>0</v>
      </c>
      <c r="N7" s="31" t="s">
        <v>386</v>
      </c>
      <c r="O7" s="31">
        <v>3.0</v>
      </c>
    </row>
    <row r="8">
      <c r="B8" s="57">
        <v>1.0</v>
      </c>
      <c r="C8" s="57"/>
      <c r="D8" s="103"/>
      <c r="E8" s="102"/>
      <c r="F8" s="36">
        <f t="shared" si="1"/>
        <v>0</v>
      </c>
      <c r="G8" s="102"/>
      <c r="H8" s="36">
        <f t="shared" si="2"/>
        <v>0</v>
      </c>
      <c r="I8" s="36">
        <f t="shared" si="3"/>
        <v>0</v>
      </c>
    </row>
    <row r="9">
      <c r="E9" s="108"/>
      <c r="F9" s="108"/>
      <c r="G9" s="109"/>
      <c r="H9" s="21" t="s">
        <v>387</v>
      </c>
      <c r="I9" s="31">
        <f>SUM(I4:I8)</f>
        <v>41</v>
      </c>
    </row>
    <row r="10">
      <c r="E10" s="14"/>
      <c r="F10" s="14"/>
      <c r="G10" s="110"/>
      <c r="H10" s="21" t="s">
        <v>388</v>
      </c>
      <c r="I10" s="31">
        <f>IF(I9&gt;20,3,IF(I9=20,1,0))</f>
        <v>3</v>
      </c>
      <c r="K10" s="78" t="s">
        <v>389</v>
      </c>
    </row>
    <row r="11">
      <c r="K11" s="5" t="s">
        <v>357</v>
      </c>
      <c r="L11" s="5" t="s">
        <v>340</v>
      </c>
    </row>
    <row r="12">
      <c r="K12" s="30" t="s">
        <v>379</v>
      </c>
      <c r="L12" s="30">
        <v>5.0</v>
      </c>
    </row>
    <row r="13">
      <c r="B13" s="1" t="s">
        <v>390</v>
      </c>
      <c r="K13" s="57" t="s">
        <v>367</v>
      </c>
      <c r="L13" s="57">
        <v>1.0</v>
      </c>
    </row>
    <row r="14">
      <c r="B14" s="21" t="s">
        <v>4</v>
      </c>
      <c r="C14" s="21" t="s">
        <v>6</v>
      </c>
      <c r="D14" s="21" t="s">
        <v>354</v>
      </c>
      <c r="E14" s="21" t="s">
        <v>355</v>
      </c>
      <c r="F14" s="21" t="s">
        <v>356</v>
      </c>
      <c r="G14" s="21" t="s">
        <v>357</v>
      </c>
      <c r="H14" s="21" t="s">
        <v>358</v>
      </c>
      <c r="I14" s="21" t="s">
        <v>391</v>
      </c>
    </row>
    <row r="15">
      <c r="B15" s="36">
        <v>2.0</v>
      </c>
      <c r="C15" s="36" t="s">
        <v>73</v>
      </c>
      <c r="D15" s="102" t="s">
        <v>76</v>
      </c>
      <c r="E15" s="102" t="s">
        <v>362</v>
      </c>
      <c r="F15" s="36">
        <f t="shared" ref="F15:F19" si="4">IF(E15="Apuntes de clase",L$4,IF(E15="Trabajo Práctico",$L$5,IF(E15="Entorno Virtual",$L$6,0)))</f>
        <v>8</v>
      </c>
      <c r="G15" s="102" t="s">
        <v>367</v>
      </c>
      <c r="H15" s="36">
        <f t="shared" ref="H15:H19" si="5">IF(G15="Desarrollo",5,IF(G15="Actualización",1,0))</f>
        <v>1</v>
      </c>
      <c r="I15" s="36">
        <f t="shared" ref="I15:I19" si="6">F15*H15</f>
        <v>8</v>
      </c>
    </row>
    <row r="16">
      <c r="B16" s="36">
        <v>2.0</v>
      </c>
      <c r="C16" s="36" t="s">
        <v>73</v>
      </c>
      <c r="D16" s="102" t="s">
        <v>76</v>
      </c>
      <c r="E16" s="102" t="s">
        <v>377</v>
      </c>
      <c r="F16" s="36">
        <f t="shared" si="4"/>
        <v>5</v>
      </c>
      <c r="G16" s="102" t="s">
        <v>367</v>
      </c>
      <c r="H16" s="36">
        <f t="shared" si="5"/>
        <v>1</v>
      </c>
      <c r="I16" s="36">
        <f t="shared" si="6"/>
        <v>5</v>
      </c>
    </row>
    <row r="17">
      <c r="B17" s="36">
        <v>2.0</v>
      </c>
      <c r="C17" s="36" t="s">
        <v>80</v>
      </c>
      <c r="D17" s="102" t="s">
        <v>383</v>
      </c>
      <c r="E17" s="102" t="s">
        <v>384</v>
      </c>
      <c r="F17" s="36">
        <f t="shared" si="4"/>
        <v>8</v>
      </c>
      <c r="G17" s="102" t="s">
        <v>367</v>
      </c>
      <c r="H17" s="36">
        <f t="shared" si="5"/>
        <v>1</v>
      </c>
      <c r="I17" s="36">
        <f t="shared" si="6"/>
        <v>8</v>
      </c>
    </row>
    <row r="18">
      <c r="B18" s="36">
        <v>2.0</v>
      </c>
      <c r="C18" s="36"/>
      <c r="D18" s="102"/>
      <c r="E18" s="102"/>
      <c r="F18" s="36">
        <f t="shared" si="4"/>
        <v>0</v>
      </c>
      <c r="G18" s="102"/>
      <c r="H18" s="36">
        <f t="shared" si="5"/>
        <v>0</v>
      </c>
      <c r="I18" s="36">
        <f t="shared" si="6"/>
        <v>0</v>
      </c>
    </row>
    <row r="19">
      <c r="B19" s="57">
        <v>2.0</v>
      </c>
      <c r="C19" s="57"/>
      <c r="D19" s="103"/>
      <c r="E19" s="102"/>
      <c r="F19" s="36">
        <f t="shared" si="4"/>
        <v>0</v>
      </c>
      <c r="G19" s="102"/>
      <c r="H19" s="36">
        <f t="shared" si="5"/>
        <v>0</v>
      </c>
      <c r="I19" s="36">
        <f t="shared" si="6"/>
        <v>0</v>
      </c>
    </row>
    <row r="20">
      <c r="E20" s="108"/>
      <c r="F20" s="108"/>
      <c r="G20" s="109"/>
      <c r="H20" s="21" t="s">
        <v>395</v>
      </c>
      <c r="I20" s="31">
        <f>SUM(I15:I19)</f>
        <v>21</v>
      </c>
    </row>
    <row r="21" ht="15.75" customHeight="1">
      <c r="E21" s="14"/>
      <c r="F21" s="14"/>
      <c r="G21" s="110"/>
      <c r="H21" s="21" t="s">
        <v>397</v>
      </c>
      <c r="I21" s="31">
        <f>IF(I20&gt;20,3,IF(I20=20,1,0))</f>
        <v>3</v>
      </c>
    </row>
    <row r="22" ht="15.75" customHeight="1"/>
    <row r="23" ht="15.75" customHeight="1"/>
    <row r="24" ht="15.75" customHeight="1">
      <c r="B24" s="1" t="s">
        <v>390</v>
      </c>
    </row>
    <row r="25" ht="15.75" customHeight="1">
      <c r="B25" s="21" t="s">
        <v>4</v>
      </c>
      <c r="C25" s="21" t="s">
        <v>6</v>
      </c>
      <c r="D25" s="21" t="s">
        <v>354</v>
      </c>
      <c r="E25" s="21" t="s">
        <v>355</v>
      </c>
      <c r="F25" s="21" t="s">
        <v>356</v>
      </c>
      <c r="G25" s="21" t="s">
        <v>357</v>
      </c>
      <c r="H25" s="21" t="s">
        <v>358</v>
      </c>
      <c r="I25" s="21" t="s">
        <v>408</v>
      </c>
    </row>
    <row r="26" ht="15.75" customHeight="1">
      <c r="B26" s="36">
        <v>3.0</v>
      </c>
      <c r="C26" s="36" t="s">
        <v>73</v>
      </c>
      <c r="D26" s="102" t="s">
        <v>76</v>
      </c>
      <c r="E26" s="102" t="s">
        <v>362</v>
      </c>
      <c r="F26" s="36">
        <f t="shared" ref="F26:F30" si="7">IF(E26="Apuntes de clase",L$4,IF(E26="Trabajo Práctico",$L$5,IF(E26="Entorno Virtual",$L$6,0)))</f>
        <v>8</v>
      </c>
      <c r="G26" s="102" t="s">
        <v>367</v>
      </c>
      <c r="H26" s="36">
        <f t="shared" ref="H26:H30" si="8">IF(G26="Desarrollo",$L$12,IF(G26="Actualización",$L$13,0))</f>
        <v>1</v>
      </c>
      <c r="I26" s="36">
        <f t="shared" ref="I26:I30" si="9">F26*H26</f>
        <v>8</v>
      </c>
    </row>
    <row r="27" ht="15.75" customHeight="1">
      <c r="B27" s="36">
        <v>3.0</v>
      </c>
      <c r="C27" s="36" t="s">
        <v>73</v>
      </c>
      <c r="D27" s="102" t="s">
        <v>76</v>
      </c>
      <c r="E27" s="102" t="s">
        <v>377</v>
      </c>
      <c r="F27" s="36">
        <f t="shared" si="7"/>
        <v>5</v>
      </c>
      <c r="G27" s="102" t="s">
        <v>367</v>
      </c>
      <c r="H27" s="36">
        <f t="shared" si="8"/>
        <v>1</v>
      </c>
      <c r="I27" s="36">
        <f t="shared" si="9"/>
        <v>5</v>
      </c>
    </row>
    <row r="28" ht="15.75" customHeight="1">
      <c r="B28" s="36">
        <v>3.0</v>
      </c>
      <c r="C28" s="36"/>
      <c r="D28" s="102"/>
      <c r="E28" s="102"/>
      <c r="F28" s="36">
        <f t="shared" si="7"/>
        <v>0</v>
      </c>
      <c r="G28" s="102"/>
      <c r="H28" s="36">
        <f t="shared" si="8"/>
        <v>0</v>
      </c>
      <c r="I28" s="36">
        <f t="shared" si="9"/>
        <v>0</v>
      </c>
    </row>
    <row r="29" ht="15.75" customHeight="1">
      <c r="B29" s="36">
        <v>3.0</v>
      </c>
      <c r="C29" s="36"/>
      <c r="D29" s="102"/>
      <c r="E29" s="102"/>
      <c r="F29" s="36">
        <f t="shared" si="7"/>
        <v>0</v>
      </c>
      <c r="G29" s="102"/>
      <c r="H29" s="36">
        <f t="shared" si="8"/>
        <v>0</v>
      </c>
      <c r="I29" s="36">
        <f t="shared" si="9"/>
        <v>0</v>
      </c>
    </row>
    <row r="30" ht="15.75" customHeight="1">
      <c r="B30" s="57">
        <v>3.0</v>
      </c>
      <c r="C30" s="57"/>
      <c r="D30" s="103"/>
      <c r="E30" s="102"/>
      <c r="F30" s="36">
        <f t="shared" si="7"/>
        <v>0</v>
      </c>
      <c r="G30" s="102"/>
      <c r="H30" s="36">
        <f t="shared" si="8"/>
        <v>0</v>
      </c>
      <c r="I30" s="36">
        <f t="shared" si="9"/>
        <v>0</v>
      </c>
    </row>
    <row r="31" ht="15.75" customHeight="1">
      <c r="E31" s="108"/>
      <c r="F31" s="108"/>
      <c r="G31" s="109"/>
      <c r="H31" s="21" t="s">
        <v>429</v>
      </c>
      <c r="I31" s="31">
        <f>SUM(I26:I30)</f>
        <v>13</v>
      </c>
    </row>
    <row r="32" ht="15.75" customHeight="1">
      <c r="E32" s="14"/>
      <c r="F32" s="14"/>
      <c r="G32" s="110"/>
      <c r="H32" s="21" t="s">
        <v>430</v>
      </c>
      <c r="I32" s="31">
        <f>IF(I31&gt;20,3,IF(I31=20,1,0))</f>
        <v>0</v>
      </c>
    </row>
    <row r="33" ht="15.75" customHeight="1"/>
    <row r="34" ht="15.75" customHeight="1">
      <c r="B34" s="1" t="s">
        <v>390</v>
      </c>
    </row>
    <row r="35" ht="15.75" customHeight="1">
      <c r="B35" s="21" t="s">
        <v>4</v>
      </c>
      <c r="C35" s="21" t="s">
        <v>6</v>
      </c>
      <c r="D35" s="21" t="s">
        <v>354</v>
      </c>
      <c r="E35" s="21" t="s">
        <v>355</v>
      </c>
      <c r="F35" s="21" t="s">
        <v>356</v>
      </c>
      <c r="G35" s="21" t="s">
        <v>357</v>
      </c>
      <c r="H35" s="21" t="s">
        <v>358</v>
      </c>
      <c r="I35" s="21" t="s">
        <v>431</v>
      </c>
    </row>
    <row r="36" ht="15.75" customHeight="1">
      <c r="B36" s="36">
        <v>4.0</v>
      </c>
      <c r="C36" s="36"/>
      <c r="D36" s="102"/>
      <c r="E36" s="102" t="s">
        <v>377</v>
      </c>
      <c r="F36" s="36">
        <f t="shared" ref="F36:F40" si="10">IF(E36="Apuntes de clase",L$4,IF(E36="Trabajo Práctico",$L$5,IF(E36="Entorno Virtual",$L$6,0)))</f>
        <v>5</v>
      </c>
      <c r="G36" s="102" t="s">
        <v>367</v>
      </c>
      <c r="H36" s="36">
        <f t="shared" ref="H36:H40" si="11">IF(G36="Desarrollo",5,IF(G36="Actualización",1,0))</f>
        <v>1</v>
      </c>
      <c r="I36" s="36">
        <f t="shared" ref="I36:I40" si="12">F36*H36</f>
        <v>5</v>
      </c>
    </row>
    <row r="37" ht="15.75" customHeight="1">
      <c r="B37" s="36">
        <v>4.0</v>
      </c>
      <c r="C37" s="36"/>
      <c r="D37" s="102"/>
      <c r="E37" s="102"/>
      <c r="F37" s="36">
        <f t="shared" si="10"/>
        <v>0</v>
      </c>
      <c r="G37" s="102"/>
      <c r="H37" s="36">
        <f t="shared" si="11"/>
        <v>0</v>
      </c>
      <c r="I37" s="36">
        <f t="shared" si="12"/>
        <v>0</v>
      </c>
    </row>
    <row r="38" ht="15.75" customHeight="1">
      <c r="B38" s="36">
        <v>4.0</v>
      </c>
      <c r="C38" s="36"/>
      <c r="D38" s="102"/>
      <c r="E38" s="102"/>
      <c r="F38" s="36">
        <f t="shared" si="10"/>
        <v>0</v>
      </c>
      <c r="G38" s="102"/>
      <c r="H38" s="36">
        <f t="shared" si="11"/>
        <v>0</v>
      </c>
      <c r="I38" s="36">
        <f t="shared" si="12"/>
        <v>0</v>
      </c>
    </row>
    <row r="39" ht="15.75" customHeight="1">
      <c r="B39" s="36">
        <v>4.0</v>
      </c>
      <c r="C39" s="36"/>
      <c r="D39" s="102"/>
      <c r="E39" s="102"/>
      <c r="F39" s="36">
        <f t="shared" si="10"/>
        <v>0</v>
      </c>
      <c r="G39" s="102"/>
      <c r="H39" s="36">
        <f t="shared" si="11"/>
        <v>0</v>
      </c>
      <c r="I39" s="36">
        <f t="shared" si="12"/>
        <v>0</v>
      </c>
    </row>
    <row r="40" ht="15.75" customHeight="1">
      <c r="B40" s="57">
        <v>4.0</v>
      </c>
      <c r="C40" s="57"/>
      <c r="D40" s="103"/>
      <c r="E40" s="102"/>
      <c r="F40" s="36">
        <f t="shared" si="10"/>
        <v>0</v>
      </c>
      <c r="G40" s="102"/>
      <c r="H40" s="36">
        <f t="shared" si="11"/>
        <v>0</v>
      </c>
      <c r="I40" s="36">
        <f t="shared" si="12"/>
        <v>0</v>
      </c>
    </row>
    <row r="41" ht="15.75" customHeight="1">
      <c r="E41" s="108"/>
      <c r="F41" s="108"/>
      <c r="G41" s="109"/>
      <c r="H41" s="21" t="s">
        <v>433</v>
      </c>
      <c r="I41" s="31">
        <f>SUM(I36:I40)</f>
        <v>5</v>
      </c>
    </row>
    <row r="42" ht="15.75" customHeight="1">
      <c r="E42" s="14"/>
      <c r="F42" s="14"/>
      <c r="G42" s="110"/>
      <c r="H42" s="112" t="s">
        <v>435</v>
      </c>
      <c r="I42" s="31">
        <f>IF(I41&gt;20,3,IF(I41=20,1,0))</f>
        <v>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8"/>
    <col customWidth="1" min="2" max="2" width="10.5"/>
    <col customWidth="1" min="3" max="3" width="12.2"/>
    <col customWidth="1" min="4" max="10" width="10.5"/>
    <col customWidth="1" min="11" max="11" width="10.0"/>
    <col customWidth="1" min="12" max="13" width="10.5"/>
    <col customWidth="1" min="14" max="14" width="13.6"/>
    <col customWidth="1" min="15" max="16" width="7.9"/>
    <col customWidth="1" min="17" max="17" width="8.0"/>
    <col customWidth="1" min="18" max="18" width="7.7"/>
    <col customWidth="1" min="19" max="19" width="7.2"/>
    <col customWidth="1" min="20" max="20" width="7.3"/>
    <col customWidth="1" min="21" max="21" width="7.6"/>
    <col customWidth="1" min="22" max="22" width="7.8"/>
    <col customWidth="1" min="23" max="23" width="8.6"/>
    <col customWidth="1" min="24" max="26" width="10.5"/>
  </cols>
  <sheetData>
    <row r="2">
      <c r="B2" s="75" t="s">
        <v>396</v>
      </c>
      <c r="C2" s="1" t="s">
        <v>398</v>
      </c>
      <c r="M2" s="75" t="s">
        <v>399</v>
      </c>
      <c r="N2" s="1" t="s">
        <v>400</v>
      </c>
    </row>
    <row r="3">
      <c r="B3" s="21" t="s">
        <v>4</v>
      </c>
      <c r="C3" s="21" t="s">
        <v>402</v>
      </c>
      <c r="D3" s="21" t="s">
        <v>404</v>
      </c>
      <c r="E3" s="21" t="s">
        <v>405</v>
      </c>
      <c r="F3" s="21" t="s">
        <v>406</v>
      </c>
      <c r="G3" s="21" t="s">
        <v>407</v>
      </c>
      <c r="H3" s="21" t="s">
        <v>410</v>
      </c>
      <c r="I3" s="21" t="s">
        <v>412</v>
      </c>
      <c r="J3" s="21" t="s">
        <v>413</v>
      </c>
      <c r="K3" s="21" t="s">
        <v>149</v>
      </c>
      <c r="M3" s="21" t="s">
        <v>415</v>
      </c>
      <c r="N3" s="21" t="s">
        <v>416</v>
      </c>
      <c r="O3" s="21" t="s">
        <v>417</v>
      </c>
      <c r="P3" s="21" t="s">
        <v>418</v>
      </c>
      <c r="Q3" s="21" t="s">
        <v>419</v>
      </c>
      <c r="R3" s="21" t="s">
        <v>420</v>
      </c>
      <c r="S3" s="21" t="s">
        <v>421</v>
      </c>
      <c r="T3" s="21" t="s">
        <v>422</v>
      </c>
      <c r="U3" s="21" t="s">
        <v>423</v>
      </c>
      <c r="V3" s="21" t="s">
        <v>425</v>
      </c>
      <c r="W3" s="21" t="s">
        <v>155</v>
      </c>
    </row>
    <row r="4">
      <c r="B4" s="30">
        <v>1.0</v>
      </c>
      <c r="C4" s="38">
        <f>'AD1'!G13</f>
        <v>6</v>
      </c>
      <c r="D4" s="38">
        <f>'AD2'!P8</f>
        <v>2.8</v>
      </c>
      <c r="E4" s="38">
        <f>'AD3'!I14</f>
        <v>13.74814815</v>
      </c>
      <c r="F4" s="38">
        <f>'AD4'!H8</f>
        <v>12.1</v>
      </c>
      <c r="G4" s="38">
        <f>'AD5'!J12</f>
        <v>32</v>
      </c>
      <c r="H4" s="38">
        <f>'AD6'!F8</f>
        <v>19</v>
      </c>
      <c r="I4" s="38">
        <f>'AD7'!E9</f>
        <v>21</v>
      </c>
      <c r="J4" s="38">
        <f>'AD8'!I9</f>
        <v>41</v>
      </c>
      <c r="K4" s="111">
        <f t="shared" ref="K4:K7" si="1">SUM(C4:J4)</f>
        <v>147.6481481</v>
      </c>
      <c r="L4" s="41"/>
      <c r="M4" s="36" t="s">
        <v>166</v>
      </c>
      <c r="N4" s="36" t="s">
        <v>167</v>
      </c>
      <c r="O4" s="36">
        <v>6.0</v>
      </c>
      <c r="P4" s="30">
        <v>1.0</v>
      </c>
      <c r="Q4" s="30">
        <v>1.0</v>
      </c>
      <c r="R4" s="30">
        <v>1.0</v>
      </c>
      <c r="S4" s="30">
        <v>1.0</v>
      </c>
      <c r="T4" s="30">
        <v>1.0</v>
      </c>
      <c r="U4" s="30">
        <v>1.0</v>
      </c>
      <c r="V4" s="30">
        <v>19.0</v>
      </c>
      <c r="W4" s="30">
        <f t="shared" ref="W4:W19" si="2">SUM(O4:V4)</f>
        <v>31</v>
      </c>
    </row>
    <row r="5">
      <c r="B5" s="36">
        <v>2.0</v>
      </c>
      <c r="C5" s="47">
        <f>'AD1'!J13</f>
        <v>6.5</v>
      </c>
      <c r="D5" s="47">
        <f>'AD2'!P16</f>
        <v>1.7</v>
      </c>
      <c r="E5" s="47">
        <f>'AD3'!I27</f>
        <v>13.04814815</v>
      </c>
      <c r="F5" s="47">
        <f>'AD4'!H17</f>
        <v>1.1</v>
      </c>
      <c r="G5" s="47">
        <f>'AD5'!J23</f>
        <v>4</v>
      </c>
      <c r="H5" s="47">
        <f>'AD6'!F16</f>
        <v>13</v>
      </c>
      <c r="I5" s="47">
        <f>'AD7'!E19</f>
        <v>33</v>
      </c>
      <c r="J5" s="47">
        <f>'AD8'!I20</f>
        <v>21</v>
      </c>
      <c r="K5" s="113">
        <f t="shared" si="1"/>
        <v>93.34814815</v>
      </c>
      <c r="L5" s="41"/>
      <c r="M5" s="36" t="s">
        <v>200</v>
      </c>
      <c r="N5" s="36" t="s">
        <v>167</v>
      </c>
      <c r="O5" s="36">
        <v>6.0</v>
      </c>
      <c r="P5" s="36">
        <v>1.0</v>
      </c>
      <c r="Q5" s="36">
        <v>1.0</v>
      </c>
      <c r="R5" s="36">
        <v>1.0</v>
      </c>
      <c r="S5" s="36">
        <v>1.0</v>
      </c>
      <c r="T5" s="36">
        <v>1.0</v>
      </c>
      <c r="U5" s="36">
        <v>1.0</v>
      </c>
      <c r="V5" s="36">
        <v>19.0</v>
      </c>
      <c r="W5" s="36">
        <f t="shared" si="2"/>
        <v>31</v>
      </c>
    </row>
    <row r="6">
      <c r="B6" s="36">
        <v>3.0</v>
      </c>
      <c r="C6" s="47">
        <f>'AD1'!M13</f>
        <v>9.5</v>
      </c>
      <c r="D6" s="47">
        <f>'AD2'!P24</f>
        <v>2.4</v>
      </c>
      <c r="E6" s="47">
        <f>'AD3'!I41</f>
        <v>13.04814815</v>
      </c>
      <c r="F6" s="47">
        <f>'AD4'!H27</f>
        <v>3.5</v>
      </c>
      <c r="G6" s="47">
        <f>'AD5'!J34</f>
        <v>0</v>
      </c>
      <c r="H6" s="47">
        <f>'AD6'!F25</f>
        <v>1</v>
      </c>
      <c r="I6" s="47">
        <f>'AD7'!E28</f>
        <v>10</v>
      </c>
      <c r="J6" s="47">
        <f>'AD8'!I31</f>
        <v>13</v>
      </c>
      <c r="K6" s="113">
        <f t="shared" si="1"/>
        <v>52.44814815</v>
      </c>
      <c r="L6" s="41"/>
      <c r="M6" s="36" t="s">
        <v>204</v>
      </c>
      <c r="N6" s="36" t="s">
        <v>167</v>
      </c>
      <c r="O6" s="36">
        <v>6.0</v>
      </c>
      <c r="P6" s="36">
        <v>1.0</v>
      </c>
      <c r="Q6" s="36">
        <v>1.0</v>
      </c>
      <c r="R6" s="36">
        <v>1.0</v>
      </c>
      <c r="S6" s="36">
        <v>1.0</v>
      </c>
      <c r="T6" s="36">
        <v>1.0</v>
      </c>
      <c r="U6" s="36">
        <v>1.0</v>
      </c>
      <c r="V6" s="36">
        <v>19.0</v>
      </c>
      <c r="W6" s="36">
        <f t="shared" si="2"/>
        <v>31</v>
      </c>
    </row>
    <row r="7">
      <c r="B7" s="57">
        <v>4.0</v>
      </c>
      <c r="C7" s="61">
        <f>'AD1'!P13</f>
        <v>14.5</v>
      </c>
      <c r="D7" s="61">
        <f>'AD2'!P32</f>
        <v>2.4</v>
      </c>
      <c r="E7" s="61">
        <f>'AD3'!I54</f>
        <v>13.13148148</v>
      </c>
      <c r="F7" s="61">
        <f>'AD4'!H36</f>
        <v>3.5</v>
      </c>
      <c r="G7" s="61">
        <f>'AD5'!J45</f>
        <v>32</v>
      </c>
      <c r="H7" s="61">
        <f>'AD6'!F33</f>
        <v>0</v>
      </c>
      <c r="I7" s="61">
        <f>'AD7'!E37</f>
        <v>0</v>
      </c>
      <c r="J7" s="61">
        <f>'AD8'!I41</f>
        <v>5</v>
      </c>
      <c r="K7" s="114">
        <f t="shared" si="1"/>
        <v>70.53148148</v>
      </c>
      <c r="L7" s="41"/>
      <c r="M7" s="36" t="s">
        <v>236</v>
      </c>
      <c r="N7" s="36" t="s">
        <v>167</v>
      </c>
      <c r="O7" s="36">
        <v>3.0</v>
      </c>
      <c r="P7" s="36">
        <v>1.0</v>
      </c>
      <c r="Q7" s="36">
        <v>1.0</v>
      </c>
      <c r="R7" s="36">
        <v>1.0</v>
      </c>
      <c r="S7" s="36">
        <v>1.0</v>
      </c>
      <c r="T7" s="36">
        <v>1.0</v>
      </c>
      <c r="U7" s="36">
        <v>1.0</v>
      </c>
      <c r="V7" s="36">
        <v>19.0</v>
      </c>
      <c r="W7" s="36">
        <f t="shared" si="2"/>
        <v>28</v>
      </c>
    </row>
    <row r="8">
      <c r="C8" s="98"/>
      <c r="D8" s="98"/>
      <c r="E8" s="98"/>
      <c r="F8" s="98"/>
      <c r="G8" s="98"/>
      <c r="H8" s="98"/>
      <c r="I8" s="98"/>
      <c r="J8" s="98"/>
      <c r="K8" s="97"/>
      <c r="L8" s="115"/>
      <c r="M8" s="36" t="s">
        <v>240</v>
      </c>
      <c r="N8" s="36" t="s">
        <v>167</v>
      </c>
      <c r="O8" s="36">
        <v>1.0</v>
      </c>
      <c r="P8" s="36">
        <v>1.0</v>
      </c>
      <c r="Q8" s="36">
        <v>1.0</v>
      </c>
      <c r="R8" s="36">
        <v>1.0</v>
      </c>
      <c r="S8" s="36">
        <v>1.0</v>
      </c>
      <c r="T8" s="36">
        <v>1.0</v>
      </c>
      <c r="U8" s="36">
        <v>1.0</v>
      </c>
      <c r="V8" s="36">
        <v>19.0</v>
      </c>
      <c r="W8" s="36">
        <f t="shared" si="2"/>
        <v>26</v>
      </c>
    </row>
    <row r="9">
      <c r="B9" s="21" t="s">
        <v>436</v>
      </c>
      <c r="C9" s="3" t="s">
        <v>437</v>
      </c>
      <c r="D9" s="4"/>
      <c r="E9" s="6"/>
      <c r="J9" s="115"/>
      <c r="K9" s="41"/>
      <c r="L9" s="41"/>
      <c r="M9" s="36" t="s">
        <v>166</v>
      </c>
      <c r="N9" s="36" t="s">
        <v>205</v>
      </c>
      <c r="O9" s="36">
        <v>6.0</v>
      </c>
      <c r="P9" s="36">
        <v>1.0</v>
      </c>
      <c r="Q9" s="36">
        <v>1.0</v>
      </c>
      <c r="R9" s="36">
        <v>1.0</v>
      </c>
      <c r="S9" s="36">
        <v>1.0</v>
      </c>
      <c r="T9" s="36">
        <v>1.0</v>
      </c>
      <c r="U9" s="36">
        <v>1.0</v>
      </c>
      <c r="V9" s="36">
        <v>19.0</v>
      </c>
      <c r="W9" s="36">
        <f t="shared" si="2"/>
        <v>31</v>
      </c>
    </row>
    <row r="10">
      <c r="B10" s="30" t="s">
        <v>438</v>
      </c>
      <c r="C10" s="33" t="s">
        <v>439</v>
      </c>
      <c r="D10" s="35"/>
      <c r="E10" s="116"/>
      <c r="M10" s="36" t="s">
        <v>200</v>
      </c>
      <c r="N10" s="36" t="s">
        <v>205</v>
      </c>
      <c r="O10" s="36">
        <v>6.0</v>
      </c>
      <c r="P10" s="36">
        <v>1.0</v>
      </c>
      <c r="Q10" s="36">
        <v>1.0</v>
      </c>
      <c r="R10" s="36">
        <v>1.0</v>
      </c>
      <c r="S10" s="36">
        <v>1.0</v>
      </c>
      <c r="T10" s="36">
        <v>1.0</v>
      </c>
      <c r="U10" s="36">
        <v>1.0</v>
      </c>
      <c r="V10" s="36">
        <v>19.0</v>
      </c>
      <c r="W10" s="36">
        <f t="shared" si="2"/>
        <v>31</v>
      </c>
    </row>
    <row r="11">
      <c r="B11" s="36" t="s">
        <v>440</v>
      </c>
      <c r="C11" s="28" t="s">
        <v>441</v>
      </c>
      <c r="E11" s="117"/>
      <c r="M11" s="36" t="s">
        <v>204</v>
      </c>
      <c r="N11" s="36" t="s">
        <v>205</v>
      </c>
      <c r="O11" s="36">
        <v>6.0</v>
      </c>
      <c r="P11" s="36">
        <v>1.0</v>
      </c>
      <c r="Q11" s="36">
        <v>1.0</v>
      </c>
      <c r="R11" s="36">
        <v>1.0</v>
      </c>
      <c r="S11" s="36">
        <v>1.0</v>
      </c>
      <c r="T11" s="36">
        <v>1.0</v>
      </c>
      <c r="U11" s="36">
        <v>1.0</v>
      </c>
      <c r="V11" s="36">
        <v>19.0</v>
      </c>
      <c r="W11" s="36">
        <f t="shared" si="2"/>
        <v>31</v>
      </c>
    </row>
    <row r="12">
      <c r="B12" s="36" t="s">
        <v>442</v>
      </c>
      <c r="C12" s="28" t="s">
        <v>443</v>
      </c>
      <c r="E12" s="117"/>
      <c r="M12" s="36" t="s">
        <v>236</v>
      </c>
      <c r="N12" s="36" t="s">
        <v>205</v>
      </c>
      <c r="O12" s="36">
        <v>3.0</v>
      </c>
      <c r="P12" s="36">
        <v>1.0</v>
      </c>
      <c r="Q12" s="36">
        <v>1.0</v>
      </c>
      <c r="R12" s="36">
        <v>1.0</v>
      </c>
      <c r="S12" s="36">
        <v>1.0</v>
      </c>
      <c r="T12" s="36">
        <v>1.0</v>
      </c>
      <c r="U12" s="36">
        <v>1.0</v>
      </c>
      <c r="V12" s="36">
        <v>19.0</v>
      </c>
      <c r="W12" s="36">
        <f t="shared" si="2"/>
        <v>28</v>
      </c>
    </row>
    <row r="13">
      <c r="B13" s="36" t="s">
        <v>444</v>
      </c>
      <c r="C13" s="28" t="s">
        <v>445</v>
      </c>
      <c r="E13" s="117"/>
      <c r="M13" s="36" t="s">
        <v>240</v>
      </c>
      <c r="N13" s="36" t="s">
        <v>205</v>
      </c>
      <c r="O13" s="36">
        <v>1.0</v>
      </c>
      <c r="P13" s="36">
        <v>1.0</v>
      </c>
      <c r="Q13" s="36">
        <v>1.0</v>
      </c>
      <c r="R13" s="36">
        <v>1.0</v>
      </c>
      <c r="S13" s="36">
        <v>1.0</v>
      </c>
      <c r="T13" s="36">
        <v>1.0</v>
      </c>
      <c r="U13" s="36">
        <v>1.0</v>
      </c>
      <c r="V13" s="36">
        <v>19.0</v>
      </c>
      <c r="W13" s="36">
        <f t="shared" si="2"/>
        <v>26</v>
      </c>
    </row>
    <row r="14">
      <c r="B14" s="36" t="s">
        <v>446</v>
      </c>
      <c r="C14" s="28" t="s">
        <v>447</v>
      </c>
      <c r="E14" s="117"/>
      <c r="M14" s="36" t="s">
        <v>166</v>
      </c>
      <c r="N14" s="36" t="s">
        <v>256</v>
      </c>
      <c r="O14" s="36">
        <v>6.0</v>
      </c>
      <c r="P14" s="36">
        <v>1.0</v>
      </c>
      <c r="Q14" s="36">
        <v>1.0</v>
      </c>
      <c r="R14" s="36">
        <v>1.0</v>
      </c>
      <c r="S14" s="36">
        <v>1.0</v>
      </c>
      <c r="T14" s="36">
        <v>1.0</v>
      </c>
      <c r="U14" s="36">
        <v>1.0</v>
      </c>
      <c r="V14" s="36">
        <v>19.0</v>
      </c>
      <c r="W14" s="36">
        <f t="shared" si="2"/>
        <v>31</v>
      </c>
    </row>
    <row r="15">
      <c r="B15" s="36" t="s">
        <v>448</v>
      </c>
      <c r="C15" s="28" t="s">
        <v>449</v>
      </c>
      <c r="E15" s="117"/>
      <c r="M15" s="36" t="s">
        <v>200</v>
      </c>
      <c r="N15" s="36" t="s">
        <v>256</v>
      </c>
      <c r="O15" s="36">
        <v>6.0</v>
      </c>
      <c r="P15" s="36">
        <v>1.0</v>
      </c>
      <c r="Q15" s="36">
        <v>1.0</v>
      </c>
      <c r="R15" s="36">
        <v>1.0</v>
      </c>
      <c r="S15" s="36">
        <v>1.0</v>
      </c>
      <c r="T15" s="36">
        <v>1.0</v>
      </c>
      <c r="U15" s="36">
        <v>1.0</v>
      </c>
      <c r="V15" s="36">
        <v>19.0</v>
      </c>
      <c r="W15" s="36">
        <f t="shared" si="2"/>
        <v>31</v>
      </c>
    </row>
    <row r="16">
      <c r="B16" s="36" t="s">
        <v>450</v>
      </c>
      <c r="C16" s="28" t="s">
        <v>451</v>
      </c>
      <c r="E16" s="117"/>
      <c r="M16" s="36" t="s">
        <v>204</v>
      </c>
      <c r="N16" s="36" t="s">
        <v>256</v>
      </c>
      <c r="O16" s="36">
        <v>6.0</v>
      </c>
      <c r="P16" s="36">
        <v>1.0</v>
      </c>
      <c r="Q16" s="36">
        <v>1.0</v>
      </c>
      <c r="R16" s="36">
        <v>1.0</v>
      </c>
      <c r="S16" s="36">
        <v>1.0</v>
      </c>
      <c r="T16" s="36">
        <v>1.0</v>
      </c>
      <c r="U16" s="36">
        <v>1.0</v>
      </c>
      <c r="V16" s="36">
        <v>19.0</v>
      </c>
      <c r="W16" s="36">
        <f t="shared" si="2"/>
        <v>31</v>
      </c>
    </row>
    <row r="17">
      <c r="B17" s="57" t="s">
        <v>452</v>
      </c>
      <c r="C17" s="68" t="s">
        <v>453</v>
      </c>
      <c r="D17" s="69"/>
      <c r="E17" s="118"/>
      <c r="M17" s="36" t="s">
        <v>236</v>
      </c>
      <c r="N17" s="36" t="s">
        <v>256</v>
      </c>
      <c r="O17" s="36">
        <v>3.0</v>
      </c>
      <c r="P17" s="36">
        <v>1.0</v>
      </c>
      <c r="Q17" s="36">
        <v>1.0</v>
      </c>
      <c r="R17" s="36">
        <v>1.0</v>
      </c>
      <c r="S17" s="36">
        <v>1.0</v>
      </c>
      <c r="T17" s="36">
        <v>1.0</v>
      </c>
      <c r="U17" s="36">
        <v>1.0</v>
      </c>
      <c r="V17" s="36">
        <v>19.0</v>
      </c>
      <c r="W17" s="36">
        <f t="shared" si="2"/>
        <v>28</v>
      </c>
    </row>
    <row r="18">
      <c r="M18" s="36" t="s">
        <v>240</v>
      </c>
      <c r="N18" s="36" t="s">
        <v>256</v>
      </c>
      <c r="O18" s="36">
        <v>1.0</v>
      </c>
      <c r="P18" s="36">
        <v>1.0</v>
      </c>
      <c r="Q18" s="36">
        <v>1.0</v>
      </c>
      <c r="R18" s="36">
        <v>1.0</v>
      </c>
      <c r="S18" s="36">
        <v>1.0</v>
      </c>
      <c r="T18" s="36">
        <v>1.0</v>
      </c>
      <c r="U18" s="36">
        <v>1.0</v>
      </c>
      <c r="V18" s="36">
        <v>19.0</v>
      </c>
      <c r="W18" s="36">
        <f t="shared" si="2"/>
        <v>26</v>
      </c>
    </row>
    <row r="19">
      <c r="M19" s="57" t="s">
        <v>257</v>
      </c>
      <c r="N19" s="57" t="s">
        <v>256</v>
      </c>
      <c r="O19" s="57">
        <v>0.0</v>
      </c>
      <c r="P19" s="57">
        <v>1.0</v>
      </c>
      <c r="Q19" s="57">
        <v>1.0</v>
      </c>
      <c r="R19" s="57">
        <v>1.0</v>
      </c>
      <c r="S19" s="57">
        <v>1.0</v>
      </c>
      <c r="T19" s="57">
        <v>1.0</v>
      </c>
      <c r="U19" s="57">
        <v>1.0</v>
      </c>
      <c r="V19" s="57">
        <v>19.0</v>
      </c>
      <c r="W19" s="57">
        <f t="shared" si="2"/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6:E16"/>
    <mergeCell ref="C17:E17"/>
    <mergeCell ref="C9:E9"/>
    <mergeCell ref="C10:E10"/>
    <mergeCell ref="C11:E11"/>
    <mergeCell ref="C12:E12"/>
    <mergeCell ref="C13:E13"/>
    <mergeCell ref="C14:E14"/>
    <mergeCell ref="C15:E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2023-07-28T11:58:27Z</dcterms:created>
  <dc:creator>Joaquin</dc:creator>
</cp:coreProperties>
</file>