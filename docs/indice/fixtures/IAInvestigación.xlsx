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Decanato\IAD\2026\"/>
    </mc:Choice>
  </mc:AlternateContent>
  <bookViews>
    <workbookView xWindow="840" yWindow="570" windowWidth="27315" windowHeight="11805" tabRatio="594"/>
  </bookViews>
  <sheets>
    <sheet name="AI" sheetId="1" r:id="rId1"/>
    <sheet name="AI1" sheetId="2" r:id="rId2"/>
    <sheet name="AI2" sheetId="3" r:id="rId3"/>
    <sheet name="AI3" sheetId="4" r:id="rId4"/>
    <sheet name="AI4" sheetId="5" r:id="rId5"/>
    <sheet name="AI5" sheetId="6" r:id="rId6"/>
    <sheet name="AI6" sheetId="7" r:id="rId7"/>
    <sheet name="Puntaje" sheetId="8" r:id="rId8"/>
  </sheets>
  <calcPr calcId="162913"/>
</workbook>
</file>

<file path=xl/calcChain.xml><?xml version="1.0" encoding="utf-8"?>
<calcChain xmlns="http://schemas.openxmlformats.org/spreadsheetml/2006/main">
  <c r="N10" i="1" l="1"/>
  <c r="N9" i="1"/>
  <c r="N8" i="1"/>
  <c r="N7" i="1"/>
  <c r="H7" i="8"/>
  <c r="H6" i="8"/>
  <c r="H5" i="8"/>
  <c r="H4" i="8"/>
  <c r="Q54" i="7"/>
  <c r="Q40" i="7"/>
  <c r="Q26" i="7"/>
  <c r="Q13" i="7"/>
  <c r="P51" i="7"/>
  <c r="L51" i="7"/>
  <c r="H51" i="7"/>
  <c r="E51" i="7"/>
  <c r="Q51" i="7" s="1"/>
  <c r="P50" i="7"/>
  <c r="L50" i="7"/>
  <c r="H50" i="7"/>
  <c r="E50" i="7"/>
  <c r="Q50" i="7" s="1"/>
  <c r="P49" i="7"/>
  <c r="L49" i="7"/>
  <c r="H49" i="7"/>
  <c r="E49" i="7"/>
  <c r="Q49" i="7" s="1"/>
  <c r="P48" i="7"/>
  <c r="L48" i="7"/>
  <c r="H48" i="7"/>
  <c r="E48" i="7"/>
  <c r="Q48" i="7" s="1"/>
  <c r="P47" i="7"/>
  <c r="L47" i="7"/>
  <c r="H47" i="7"/>
  <c r="E47" i="7"/>
  <c r="Q47" i="7" s="1"/>
  <c r="P46" i="7"/>
  <c r="L46" i="7"/>
  <c r="H46" i="7"/>
  <c r="E46" i="7"/>
  <c r="Q46" i="7" s="1"/>
  <c r="Q53" i="7" s="1"/>
  <c r="P37" i="7"/>
  <c r="L37" i="7"/>
  <c r="H37" i="7"/>
  <c r="E37" i="7"/>
  <c r="Q37" i="7" s="1"/>
  <c r="P36" i="7"/>
  <c r="L36" i="7"/>
  <c r="H36" i="7"/>
  <c r="E36" i="7"/>
  <c r="Q36" i="7" s="1"/>
  <c r="P35" i="7"/>
  <c r="L35" i="7"/>
  <c r="H35" i="7"/>
  <c r="E35" i="7"/>
  <c r="Q35" i="7" s="1"/>
  <c r="P34" i="7"/>
  <c r="L34" i="7"/>
  <c r="H34" i="7"/>
  <c r="E34" i="7"/>
  <c r="Q34" i="7" s="1"/>
  <c r="P33" i="7"/>
  <c r="L33" i="7"/>
  <c r="H33" i="7"/>
  <c r="E33" i="7"/>
  <c r="Q33" i="7" s="1"/>
  <c r="P32" i="7"/>
  <c r="L32" i="7"/>
  <c r="H32" i="7"/>
  <c r="E32" i="7"/>
  <c r="Q32" i="7" s="1"/>
  <c r="Q39" i="7" s="1"/>
  <c r="P23" i="7"/>
  <c r="L23" i="7"/>
  <c r="H23" i="7"/>
  <c r="E23" i="7"/>
  <c r="Q23" i="7" s="1"/>
  <c r="P22" i="7"/>
  <c r="L22" i="7"/>
  <c r="H22" i="7"/>
  <c r="E22" i="7"/>
  <c r="Q22" i="7" s="1"/>
  <c r="P21" i="7"/>
  <c r="L21" i="7"/>
  <c r="H21" i="7"/>
  <c r="E21" i="7"/>
  <c r="Q21" i="7" s="1"/>
  <c r="P20" i="7"/>
  <c r="L20" i="7"/>
  <c r="H20" i="7"/>
  <c r="E20" i="7"/>
  <c r="Q20" i="7" s="1"/>
  <c r="P19" i="7"/>
  <c r="L19" i="7"/>
  <c r="H19" i="7"/>
  <c r="E19" i="7"/>
  <c r="Q19" i="7" s="1"/>
  <c r="P18" i="7"/>
  <c r="L18" i="7"/>
  <c r="H18" i="7"/>
  <c r="E18" i="7"/>
  <c r="Q18" i="7" s="1"/>
  <c r="Q25" i="7" s="1"/>
  <c r="E6" i="7"/>
  <c r="E7" i="7"/>
  <c r="E8" i="7"/>
  <c r="E9" i="7"/>
  <c r="E10" i="7"/>
  <c r="E5" i="7"/>
  <c r="P6" i="7" l="1"/>
  <c r="P7" i="7"/>
  <c r="P8" i="7"/>
  <c r="P9" i="7"/>
  <c r="P10" i="7"/>
  <c r="P5" i="7"/>
  <c r="L6" i="7"/>
  <c r="L7" i="7"/>
  <c r="L8" i="7"/>
  <c r="L9" i="7"/>
  <c r="L10" i="7"/>
  <c r="H6" i="7"/>
  <c r="H7" i="7"/>
  <c r="H8" i="7"/>
  <c r="H9" i="7"/>
  <c r="H10" i="7"/>
  <c r="L5" i="7"/>
  <c r="H5" i="7"/>
  <c r="Q5" i="7" l="1"/>
  <c r="Q6" i="7"/>
  <c r="Q7" i="7"/>
  <c r="Q8" i="7"/>
  <c r="Q9" i="7"/>
  <c r="Q10" i="7"/>
  <c r="O8" i="8" l="1"/>
  <c r="O7" i="8"/>
  <c r="O6" i="8"/>
  <c r="O5" i="8"/>
  <c r="O4" i="8"/>
  <c r="E7" i="8"/>
  <c r="E6" i="8"/>
  <c r="E5" i="8"/>
  <c r="E4" i="8"/>
  <c r="K10" i="1"/>
  <c r="K9" i="1"/>
  <c r="K8" i="1"/>
  <c r="K7" i="1"/>
  <c r="G37" i="4"/>
  <c r="G28" i="4"/>
  <c r="G10" i="4"/>
  <c r="F34" i="4"/>
  <c r="D34" i="4"/>
  <c r="G34" i="4" s="1"/>
  <c r="F33" i="4"/>
  <c r="D33" i="4"/>
  <c r="G33" i="4" s="1"/>
  <c r="F32" i="4"/>
  <c r="D32" i="4"/>
  <c r="G32" i="4" s="1"/>
  <c r="F31" i="4"/>
  <c r="D31" i="4"/>
  <c r="G31" i="4" s="1"/>
  <c r="G36" i="4" s="1"/>
  <c r="F25" i="4"/>
  <c r="D25" i="4"/>
  <c r="G25" i="4" s="1"/>
  <c r="F24" i="4"/>
  <c r="D24" i="4"/>
  <c r="G24" i="4" s="1"/>
  <c r="F23" i="4"/>
  <c r="D23" i="4"/>
  <c r="G23" i="4" s="1"/>
  <c r="F22" i="4"/>
  <c r="D22" i="4"/>
  <c r="G22" i="4" s="1"/>
  <c r="G27" i="4" s="1"/>
  <c r="F16" i="4"/>
  <c r="D16" i="4"/>
  <c r="G16" i="4" s="1"/>
  <c r="F15" i="4"/>
  <c r="D15" i="4"/>
  <c r="G15" i="4" s="1"/>
  <c r="F14" i="4"/>
  <c r="D14" i="4"/>
  <c r="F13" i="4"/>
  <c r="D13" i="4"/>
  <c r="F5" i="4"/>
  <c r="F6" i="4"/>
  <c r="F7" i="4"/>
  <c r="F4" i="4"/>
  <c r="D5" i="4"/>
  <c r="D6" i="4"/>
  <c r="D7" i="4"/>
  <c r="D4" i="4"/>
  <c r="G14" i="4" l="1"/>
  <c r="G13" i="4"/>
  <c r="G18" i="4" l="1"/>
  <c r="G19" i="4" s="1"/>
  <c r="G7" i="1" l="1"/>
  <c r="H7" i="1" l="1"/>
  <c r="S19" i="8"/>
  <c r="X20" i="1" s="1"/>
  <c r="S18" i="8"/>
  <c r="X19" i="1" s="1"/>
  <c r="S17" i="8"/>
  <c r="X18" i="1" s="1"/>
  <c r="S16" i="8"/>
  <c r="X17" i="1" s="1"/>
  <c r="S15" i="8"/>
  <c r="X16" i="1" s="1"/>
  <c r="S14" i="8"/>
  <c r="X15" i="1" s="1"/>
  <c r="S13" i="8"/>
  <c r="X14" i="1" s="1"/>
  <c r="S12" i="8"/>
  <c r="X13" i="1" s="1"/>
  <c r="S11" i="8"/>
  <c r="X12" i="1" s="1"/>
  <c r="S10" i="8"/>
  <c r="X11" i="1" s="1"/>
  <c r="S9" i="8"/>
  <c r="X10" i="1" s="1"/>
  <c r="S8" i="8"/>
  <c r="X9" i="1" s="1"/>
  <c r="S7" i="8"/>
  <c r="X8" i="1" s="1"/>
  <c r="S6" i="8"/>
  <c r="X7" i="1" s="1"/>
  <c r="S5" i="8"/>
  <c r="X6" i="1" s="1"/>
  <c r="S4" i="8"/>
  <c r="X5" i="1" s="1"/>
  <c r="U42" i="6" l="1"/>
  <c r="L42" i="6"/>
  <c r="U41" i="6"/>
  <c r="L41" i="6"/>
  <c r="U40" i="6"/>
  <c r="L40" i="6"/>
  <c r="U39" i="6"/>
  <c r="L39" i="6"/>
  <c r="U31" i="6"/>
  <c r="L31" i="6"/>
  <c r="U30" i="6"/>
  <c r="L30" i="6"/>
  <c r="U29" i="6"/>
  <c r="L29" i="6"/>
  <c r="U28" i="6"/>
  <c r="L28" i="6"/>
  <c r="U19" i="6"/>
  <c r="L19" i="6"/>
  <c r="U18" i="6"/>
  <c r="L18" i="6"/>
  <c r="U17" i="6"/>
  <c r="L17" i="6"/>
  <c r="V17" i="6" s="1"/>
  <c r="U16" i="6"/>
  <c r="L16" i="6"/>
  <c r="U6" i="6"/>
  <c r="U7" i="6"/>
  <c r="U8" i="6"/>
  <c r="U5" i="6"/>
  <c r="Q12" i="7" l="1"/>
  <c r="V19" i="6"/>
  <c r="V18" i="6"/>
  <c r="V16" i="6"/>
  <c r="V41" i="6"/>
  <c r="V42" i="6"/>
  <c r="V40" i="6"/>
  <c r="V39" i="6"/>
  <c r="V31" i="6"/>
  <c r="V30" i="6"/>
  <c r="V29" i="6"/>
  <c r="V28" i="6"/>
  <c r="L6" i="6"/>
  <c r="L7" i="6"/>
  <c r="L8" i="6"/>
  <c r="V8" i="6" s="1"/>
  <c r="L5" i="6"/>
  <c r="N11" i="1" l="1"/>
  <c r="V21" i="6"/>
  <c r="V44" i="6"/>
  <c r="V33" i="6"/>
  <c r="V6" i="6"/>
  <c r="V7" i="6"/>
  <c r="V5" i="6"/>
  <c r="AA49" i="5"/>
  <c r="S49" i="5"/>
  <c r="N49" i="5"/>
  <c r="AA48" i="5"/>
  <c r="S48" i="5"/>
  <c r="N48" i="5"/>
  <c r="AA47" i="5"/>
  <c r="S47" i="5"/>
  <c r="N47" i="5"/>
  <c r="AA46" i="5"/>
  <c r="S46" i="5"/>
  <c r="N46" i="5"/>
  <c r="AA45" i="5"/>
  <c r="S45" i="5"/>
  <c r="N45" i="5"/>
  <c r="AA35" i="5"/>
  <c r="S35" i="5"/>
  <c r="N35" i="5"/>
  <c r="AA34" i="5"/>
  <c r="S34" i="5"/>
  <c r="N34" i="5"/>
  <c r="AA33" i="5"/>
  <c r="S33" i="5"/>
  <c r="N33" i="5"/>
  <c r="AA32" i="5"/>
  <c r="S32" i="5"/>
  <c r="N32" i="5"/>
  <c r="AA31" i="5"/>
  <c r="S31" i="5"/>
  <c r="N31" i="5"/>
  <c r="AA22" i="5"/>
  <c r="S22" i="5"/>
  <c r="N22" i="5"/>
  <c r="AA21" i="5"/>
  <c r="S21" i="5"/>
  <c r="N21" i="5"/>
  <c r="AA20" i="5"/>
  <c r="S20" i="5"/>
  <c r="N20" i="5"/>
  <c r="AA19" i="5"/>
  <c r="S19" i="5"/>
  <c r="N19" i="5"/>
  <c r="AA18" i="5"/>
  <c r="S18" i="5"/>
  <c r="N18" i="5"/>
  <c r="AA7" i="5"/>
  <c r="AA8" i="5"/>
  <c r="AA9" i="5"/>
  <c r="AA10" i="5"/>
  <c r="AA6" i="5"/>
  <c r="S7" i="5"/>
  <c r="S8" i="5"/>
  <c r="S9" i="5"/>
  <c r="S10" i="5"/>
  <c r="S6" i="5"/>
  <c r="N7" i="5"/>
  <c r="N8" i="5"/>
  <c r="N9" i="5"/>
  <c r="N10" i="5"/>
  <c r="N6" i="5"/>
  <c r="AB10" i="5" l="1"/>
  <c r="AB8" i="5"/>
  <c r="AB6" i="5"/>
  <c r="AB9" i="5"/>
  <c r="AB7" i="5"/>
  <c r="G7" i="8"/>
  <c r="V45" i="6"/>
  <c r="M10" i="1" s="1"/>
  <c r="G6" i="8"/>
  <c r="V34" i="6"/>
  <c r="M9" i="1" s="1"/>
  <c r="G5" i="8"/>
  <c r="V22" i="6"/>
  <c r="M8" i="1" s="1"/>
  <c r="V10" i="6"/>
  <c r="AB19" i="5"/>
  <c r="AB21" i="5"/>
  <c r="AB33" i="5"/>
  <c r="AB35" i="5"/>
  <c r="AB47" i="5"/>
  <c r="AB22" i="5"/>
  <c r="AB32" i="5"/>
  <c r="AB34" i="5"/>
  <c r="AB46" i="5"/>
  <c r="AB48" i="5"/>
  <c r="AB45" i="5"/>
  <c r="F7" i="8" s="1"/>
  <c r="AB49" i="5"/>
  <c r="AB31" i="5"/>
  <c r="AB20" i="5"/>
  <c r="AB18" i="5"/>
  <c r="G4" i="8" l="1"/>
  <c r="V11" i="6"/>
  <c r="M7" i="1" s="1"/>
  <c r="M11" i="1" s="1"/>
  <c r="AB51" i="5"/>
  <c r="AB52" i="5" s="1"/>
  <c r="L10" i="1" s="1"/>
  <c r="AB37" i="5"/>
  <c r="AB24" i="5"/>
  <c r="AB38" i="5" l="1"/>
  <c r="L9" i="1" s="1"/>
  <c r="F6" i="8"/>
  <c r="AB25" i="5"/>
  <c r="L8" i="1" s="1"/>
  <c r="F5" i="8"/>
  <c r="G5" i="4"/>
  <c r="G6" i="4"/>
  <c r="G7" i="4"/>
  <c r="G4" i="4"/>
  <c r="M18" i="3"/>
  <c r="M19" i="3"/>
  <c r="M20" i="3"/>
  <c r="N42" i="3"/>
  <c r="M42" i="3"/>
  <c r="J42" i="3"/>
  <c r="F42" i="3"/>
  <c r="N41" i="3"/>
  <c r="M41" i="3"/>
  <c r="J41" i="3"/>
  <c r="F41" i="3"/>
  <c r="N40" i="3"/>
  <c r="M40" i="3"/>
  <c r="J40" i="3"/>
  <c r="F40" i="3"/>
  <c r="N39" i="3"/>
  <c r="M39" i="3"/>
  <c r="J39" i="3"/>
  <c r="F39" i="3"/>
  <c r="N31" i="3"/>
  <c r="M31" i="3"/>
  <c r="J31" i="3"/>
  <c r="F31" i="3"/>
  <c r="N30" i="3"/>
  <c r="M30" i="3"/>
  <c r="J30" i="3"/>
  <c r="F30" i="3"/>
  <c r="N29" i="3"/>
  <c r="M29" i="3"/>
  <c r="J29" i="3"/>
  <c r="F29" i="3"/>
  <c r="N28" i="3"/>
  <c r="M28" i="3"/>
  <c r="J28" i="3"/>
  <c r="F28" i="3"/>
  <c r="N20" i="3"/>
  <c r="J20" i="3"/>
  <c r="F20" i="3"/>
  <c r="N19" i="3"/>
  <c r="J19" i="3"/>
  <c r="F19" i="3"/>
  <c r="N18" i="3"/>
  <c r="J18" i="3"/>
  <c r="F18" i="3"/>
  <c r="N17" i="3"/>
  <c r="M17" i="3"/>
  <c r="J17" i="3"/>
  <c r="F17" i="3"/>
  <c r="N6" i="3"/>
  <c r="N7" i="3"/>
  <c r="N8" i="3"/>
  <c r="M6" i="3"/>
  <c r="M7" i="3"/>
  <c r="M8" i="3"/>
  <c r="M5" i="3"/>
  <c r="N5" i="3"/>
  <c r="G9" i="4" l="1"/>
  <c r="O39" i="3"/>
  <c r="O40" i="3"/>
  <c r="O41" i="3"/>
  <c r="O42" i="3"/>
  <c r="O28" i="3"/>
  <c r="O29" i="3"/>
  <c r="O30" i="3"/>
  <c r="O31" i="3"/>
  <c r="O19" i="3"/>
  <c r="O17" i="3"/>
  <c r="O18" i="3"/>
  <c r="O20" i="3"/>
  <c r="J6" i="3"/>
  <c r="J7" i="3"/>
  <c r="J8" i="3"/>
  <c r="J5" i="3"/>
  <c r="F6" i="3"/>
  <c r="O6" i="3" s="1"/>
  <c r="F7" i="3"/>
  <c r="O7" i="3" s="1"/>
  <c r="F8" i="3"/>
  <c r="O8" i="3" s="1"/>
  <c r="F5" i="3"/>
  <c r="O5" i="3" s="1"/>
  <c r="K11" i="1" l="1"/>
  <c r="O22" i="3"/>
  <c r="O23" i="3" s="1"/>
  <c r="O44" i="3"/>
  <c r="O45" i="3" s="1"/>
  <c r="J10" i="1" s="1"/>
  <c r="O33" i="3"/>
  <c r="D6" i="8" s="1"/>
  <c r="O10" i="3"/>
  <c r="D5" i="8"/>
  <c r="D38" i="2"/>
  <c r="D39" i="2"/>
  <c r="D40" i="2"/>
  <c r="D41" i="2"/>
  <c r="D37" i="2"/>
  <c r="D27" i="2"/>
  <c r="D28" i="2"/>
  <c r="D29" i="2"/>
  <c r="D30" i="2"/>
  <c r="D26" i="2"/>
  <c r="D16" i="2"/>
  <c r="D17" i="2"/>
  <c r="D18" i="2"/>
  <c r="D19" i="2"/>
  <c r="D15" i="2"/>
  <c r="D7" i="8" l="1"/>
  <c r="O34" i="3"/>
  <c r="J9" i="1" s="1"/>
  <c r="D32" i="2"/>
  <c r="J7" i="1"/>
  <c r="J8" i="1"/>
  <c r="D4" i="8"/>
  <c r="O11" i="3"/>
  <c r="D43" i="2"/>
  <c r="C7" i="8" s="1"/>
  <c r="D21" i="2"/>
  <c r="C5" i="8" s="1"/>
  <c r="I5" i="8" s="1"/>
  <c r="Q8" i="1" s="1"/>
  <c r="D5" i="2"/>
  <c r="D6" i="2"/>
  <c r="D7" i="2"/>
  <c r="D8" i="2"/>
  <c r="D4" i="2"/>
  <c r="I7" i="8" l="1"/>
  <c r="Q10" i="1" s="1"/>
  <c r="J11" i="1"/>
  <c r="D33" i="2"/>
  <c r="I9" i="1" s="1"/>
  <c r="C6" i="8"/>
  <c r="I6" i="8" s="1"/>
  <c r="Q9" i="1" s="1"/>
  <c r="D22" i="2"/>
  <c r="I8" i="1" s="1"/>
  <c r="D44" i="2"/>
  <c r="I10" i="1" s="1"/>
  <c r="D10" i="2"/>
  <c r="R8" i="1"/>
  <c r="R9" i="1"/>
  <c r="R10" i="1"/>
  <c r="R7" i="1"/>
  <c r="R11" i="1" l="1"/>
  <c r="C4" i="8"/>
  <c r="D11" i="2"/>
  <c r="I7" i="1" s="1"/>
  <c r="I11" i="1" s="1"/>
  <c r="G10" i="1"/>
  <c r="S10" i="1" s="1"/>
  <c r="G9" i="1"/>
  <c r="S9" i="1" s="1"/>
  <c r="O8" i="1"/>
  <c r="P8" i="1" s="1"/>
  <c r="G8" i="1"/>
  <c r="H10" i="1" l="1"/>
  <c r="H9" i="1"/>
  <c r="H8" i="1"/>
  <c r="S8" i="1"/>
  <c r="G11" i="1"/>
  <c r="O9" i="1"/>
  <c r="P9" i="1" s="1"/>
  <c r="O10" i="1"/>
  <c r="P10" i="1" s="1"/>
  <c r="AB12" i="5"/>
  <c r="AB13" i="5" l="1"/>
  <c r="L7" i="1" s="1"/>
  <c r="L11" i="1" s="1"/>
  <c r="P11" i="1" s="1"/>
  <c r="F4" i="8"/>
  <c r="I4" i="8" s="1"/>
  <c r="Q7" i="1" l="1"/>
  <c r="O7" i="1"/>
  <c r="S7" i="1" l="1"/>
  <c r="T9" i="1"/>
  <c r="T7" i="1"/>
  <c r="T10" i="1"/>
  <c r="T8" i="1"/>
  <c r="Q11" i="1"/>
  <c r="S11" i="1" s="1"/>
  <c r="O11" i="1"/>
  <c r="P7" i="1"/>
</calcChain>
</file>

<file path=xl/sharedStrings.xml><?xml version="1.0" encoding="utf-8"?>
<sst xmlns="http://schemas.openxmlformats.org/spreadsheetml/2006/main" count="1043" uniqueCount="358">
  <si>
    <t>Categoría</t>
  </si>
  <si>
    <t>Dedicación</t>
  </si>
  <si>
    <t>Licencias</t>
  </si>
  <si>
    <t>Período</t>
  </si>
  <si>
    <t>Umbral</t>
  </si>
  <si>
    <t>c/goce sueldo</t>
  </si>
  <si>
    <t>s/goce sueldo</t>
  </si>
  <si>
    <t>Básico</t>
  </si>
  <si>
    <t>Parcial</t>
  </si>
  <si>
    <t>(meses)</t>
  </si>
  <si>
    <t>(años)</t>
  </si>
  <si>
    <t>Dimensiones</t>
  </si>
  <si>
    <t>(j)</t>
  </si>
  <si>
    <t>(k)</t>
  </si>
  <si>
    <t>(lcg)</t>
  </si>
  <si>
    <t>(lsg)</t>
  </si>
  <si>
    <t>T</t>
  </si>
  <si>
    <t>SE</t>
  </si>
  <si>
    <t>EX</t>
  </si>
  <si>
    <t>Umbral Básico</t>
  </si>
  <si>
    <t>AS</t>
  </si>
  <si>
    <t>AJ</t>
  </si>
  <si>
    <t>JTP</t>
  </si>
  <si>
    <t>AY1</t>
  </si>
  <si>
    <t>DS</t>
  </si>
  <si>
    <t>AY2</t>
  </si>
  <si>
    <r>
      <rPr>
        <b/>
        <i/>
        <sz val="12"/>
        <color theme="1"/>
        <rFont val="Arial"/>
        <family val="2"/>
      </rPr>
      <t>Tabla 1</t>
    </r>
    <r>
      <rPr>
        <sz val="12"/>
        <color theme="1"/>
        <rFont val="Arial"/>
        <family val="2"/>
      </rPr>
      <t xml:space="preserve">: </t>
    </r>
  </si>
  <si>
    <t>Tabla 2:</t>
  </si>
  <si>
    <t>seún la categoría y dedicación del docente</t>
  </si>
  <si>
    <r>
      <t>AI</t>
    </r>
    <r>
      <rPr>
        <b/>
        <i/>
        <vertAlign val="subscript"/>
        <sz val="12"/>
        <color theme="1"/>
        <rFont val="Arial"/>
        <family val="2"/>
      </rPr>
      <t>1</t>
    </r>
  </si>
  <si>
    <t>Umbral básico de investigación  fijado</t>
  </si>
  <si>
    <t>UBIjk</t>
  </si>
  <si>
    <t>Investigación</t>
  </si>
  <si>
    <t>I</t>
  </si>
  <si>
    <t>II</t>
  </si>
  <si>
    <t>III</t>
  </si>
  <si>
    <t>IV</t>
  </si>
  <si>
    <t>V</t>
  </si>
  <si>
    <t>w</t>
  </si>
  <si>
    <t>Categoría Investigación</t>
  </si>
  <si>
    <t>ci</t>
  </si>
  <si>
    <t>ciw</t>
  </si>
  <si>
    <r>
      <t>AI</t>
    </r>
    <r>
      <rPr>
        <b/>
        <i/>
        <vertAlign val="subscript"/>
        <sz val="12"/>
        <color theme="1"/>
        <rFont val="Arial"/>
        <family val="2"/>
      </rPr>
      <t>1</t>
    </r>
    <r>
      <rPr>
        <b/>
        <i/>
        <sz val="12"/>
        <color theme="1"/>
        <rFont val="Arial"/>
        <family val="2"/>
      </rPr>
      <t>: Categorización</t>
    </r>
  </si>
  <si>
    <r>
      <t>AI</t>
    </r>
    <r>
      <rPr>
        <b/>
        <i/>
        <vertAlign val="subscript"/>
        <sz val="12"/>
        <color theme="1"/>
        <rFont val="Arial"/>
        <family val="2"/>
      </rPr>
      <t>2:</t>
    </r>
    <r>
      <rPr>
        <b/>
        <i/>
        <sz val="12"/>
        <color theme="1"/>
        <rFont val="Arial"/>
        <family val="2"/>
      </rPr>
      <t xml:space="preserve"> Categorización</t>
    </r>
  </si>
  <si>
    <r>
      <t>AI</t>
    </r>
    <r>
      <rPr>
        <b/>
        <i/>
        <vertAlign val="subscript"/>
        <sz val="12"/>
        <color theme="1"/>
        <rFont val="Arial"/>
        <family val="2"/>
      </rPr>
      <t>3</t>
    </r>
    <r>
      <rPr>
        <b/>
        <i/>
        <sz val="12"/>
        <color theme="1"/>
        <rFont val="Arial"/>
        <family val="2"/>
      </rPr>
      <t>: Categorización</t>
    </r>
  </si>
  <si>
    <r>
      <t>AI</t>
    </r>
    <r>
      <rPr>
        <b/>
        <i/>
        <vertAlign val="subscript"/>
        <sz val="12"/>
        <color theme="1"/>
        <rFont val="Arial"/>
        <family val="2"/>
      </rPr>
      <t>4</t>
    </r>
    <r>
      <rPr>
        <b/>
        <i/>
        <sz val="12"/>
        <color theme="1"/>
        <rFont val="Arial"/>
        <family val="2"/>
      </rPr>
      <t>: Categorización</t>
    </r>
  </si>
  <si>
    <t>Mínimo</t>
  </si>
  <si>
    <t>Menor al mínimo</t>
  </si>
  <si>
    <r>
      <t xml:space="preserve"> AI</t>
    </r>
    <r>
      <rPr>
        <b/>
        <i/>
        <vertAlign val="subscript"/>
        <sz val="12"/>
        <color theme="1"/>
        <rFont val="Arial"/>
        <family val="2"/>
      </rPr>
      <t>1</t>
    </r>
  </si>
  <si>
    <t xml:space="preserve">Igual al mínimo </t>
  </si>
  <si>
    <t xml:space="preserve">Mayor al mínimo </t>
  </si>
  <si>
    <t>En relación al CIW</t>
  </si>
  <si>
    <r>
      <t>AI</t>
    </r>
    <r>
      <rPr>
        <b/>
        <i/>
        <vertAlign val="subscript"/>
        <sz val="12"/>
        <color theme="1"/>
        <rFont val="Arial"/>
        <family val="2"/>
      </rPr>
      <t>2</t>
    </r>
    <r>
      <rPr>
        <b/>
        <i/>
        <sz val="12"/>
        <color theme="1"/>
        <rFont val="Arial"/>
        <family val="2"/>
      </rPr>
      <t xml:space="preserve">  Proyectos acreditados durante el periodo</t>
    </r>
  </si>
  <si>
    <t>Nombre</t>
  </si>
  <si>
    <t>Organismo</t>
  </si>
  <si>
    <t>Cáracter</t>
  </si>
  <si>
    <t>Código</t>
  </si>
  <si>
    <t>Proyecto de Investigación</t>
  </si>
  <si>
    <t>Participación en el proyecto</t>
  </si>
  <si>
    <t>Año</t>
  </si>
  <si>
    <t>Tipo</t>
  </si>
  <si>
    <t>Pryi</t>
  </si>
  <si>
    <t>hs/sem</t>
  </si>
  <si>
    <t>Pai</t>
  </si>
  <si>
    <t>Pri</t>
  </si>
  <si>
    <t>Tw</t>
  </si>
  <si>
    <t>Valor</t>
  </si>
  <si>
    <t>PICTO</t>
  </si>
  <si>
    <t>PICT</t>
  </si>
  <si>
    <t>UNCUYO</t>
  </si>
  <si>
    <t>CONICET</t>
  </si>
  <si>
    <t>Muestreo</t>
  </si>
  <si>
    <t>Papas</t>
  </si>
  <si>
    <t>Contaminación</t>
  </si>
  <si>
    <t>Sostenible</t>
  </si>
  <si>
    <t>2022-2024</t>
  </si>
  <si>
    <t>A389</t>
  </si>
  <si>
    <t>A390</t>
  </si>
  <si>
    <t>A391</t>
  </si>
  <si>
    <t>A392</t>
  </si>
  <si>
    <t>Nacional</t>
  </si>
  <si>
    <t>Internacional</t>
  </si>
  <si>
    <t>Carácter</t>
  </si>
  <si>
    <t>Participación</t>
  </si>
  <si>
    <t>D</t>
  </si>
  <si>
    <t>Co</t>
  </si>
  <si>
    <t>Cb</t>
  </si>
  <si>
    <t>B</t>
  </si>
  <si>
    <t>fdi</t>
  </si>
  <si>
    <t>Ref: D: Director, Co: Codirector, I:Investigador, Cb:Colaborador, B:Becario</t>
  </si>
  <si>
    <t>En relación al PI</t>
  </si>
  <si>
    <r>
      <t xml:space="preserve"> AI</t>
    </r>
    <r>
      <rPr>
        <b/>
        <i/>
        <vertAlign val="subscript"/>
        <sz val="12"/>
        <color theme="1"/>
        <rFont val="Arial"/>
        <family val="2"/>
      </rPr>
      <t>2</t>
    </r>
  </si>
  <si>
    <r>
      <t>PI</t>
    </r>
    <r>
      <rPr>
        <b/>
        <i/>
        <vertAlign val="subscript"/>
        <sz val="12"/>
        <color theme="1"/>
        <rFont val="Arial"/>
        <family val="2"/>
      </rPr>
      <t>1</t>
    </r>
  </si>
  <si>
    <t>2022-2025</t>
  </si>
  <si>
    <r>
      <t>AI</t>
    </r>
    <r>
      <rPr>
        <b/>
        <i/>
        <vertAlign val="subscript"/>
        <sz val="12"/>
        <color theme="1"/>
        <rFont val="Arial"/>
        <family val="2"/>
      </rPr>
      <t>11</t>
    </r>
  </si>
  <si>
    <r>
      <t>AI</t>
    </r>
    <r>
      <rPr>
        <b/>
        <i/>
        <vertAlign val="subscript"/>
        <sz val="12"/>
        <color theme="1"/>
        <rFont val="Arial"/>
        <family val="2"/>
      </rPr>
      <t>12</t>
    </r>
  </si>
  <si>
    <r>
      <t>AI</t>
    </r>
    <r>
      <rPr>
        <b/>
        <i/>
        <vertAlign val="subscript"/>
        <sz val="12"/>
        <color theme="1"/>
        <rFont val="Arial"/>
        <family val="2"/>
      </rPr>
      <t>13</t>
    </r>
  </si>
  <si>
    <r>
      <t>AI</t>
    </r>
    <r>
      <rPr>
        <b/>
        <i/>
        <vertAlign val="subscript"/>
        <sz val="12"/>
        <color theme="1"/>
        <rFont val="Arial"/>
        <family val="2"/>
      </rPr>
      <t>14</t>
    </r>
  </si>
  <si>
    <r>
      <t>AI</t>
    </r>
    <r>
      <rPr>
        <b/>
        <i/>
        <vertAlign val="subscript"/>
        <sz val="12"/>
        <color theme="1"/>
        <rFont val="Arial"/>
        <family val="2"/>
      </rPr>
      <t>21</t>
    </r>
  </si>
  <si>
    <r>
      <t>AI</t>
    </r>
    <r>
      <rPr>
        <b/>
        <i/>
        <vertAlign val="subscript"/>
        <sz val="12"/>
        <color theme="1"/>
        <rFont val="Arial"/>
        <family val="2"/>
      </rPr>
      <t>22</t>
    </r>
  </si>
  <si>
    <r>
      <t>AI</t>
    </r>
    <r>
      <rPr>
        <b/>
        <i/>
        <vertAlign val="subscript"/>
        <sz val="12"/>
        <color theme="1"/>
        <rFont val="Arial"/>
        <family val="2"/>
      </rPr>
      <t>23</t>
    </r>
  </si>
  <si>
    <r>
      <t>AI</t>
    </r>
    <r>
      <rPr>
        <b/>
        <i/>
        <vertAlign val="subscript"/>
        <sz val="12"/>
        <color theme="1"/>
        <rFont val="Arial"/>
        <family val="2"/>
      </rPr>
      <t>24</t>
    </r>
  </si>
  <si>
    <r>
      <t xml:space="preserve"> AI</t>
    </r>
    <r>
      <rPr>
        <b/>
        <i/>
        <vertAlign val="subscript"/>
        <sz val="12"/>
        <color theme="1"/>
        <rFont val="Arial"/>
        <family val="2"/>
      </rPr>
      <t>3</t>
    </r>
  </si>
  <si>
    <t>En relación al Imp</t>
  </si>
  <si>
    <t>Autores</t>
  </si>
  <si>
    <t>Indexadas</t>
  </si>
  <si>
    <t>Q1</t>
  </si>
  <si>
    <t>Q2</t>
  </si>
  <si>
    <t>Q3</t>
  </si>
  <si>
    <t>Q4</t>
  </si>
  <si>
    <t>No indexadas</t>
  </si>
  <si>
    <t>Referato</t>
  </si>
  <si>
    <t>Nombre de la</t>
  </si>
  <si>
    <t>Revista</t>
  </si>
  <si>
    <t>IH</t>
  </si>
  <si>
    <t>Libros</t>
  </si>
  <si>
    <t>Revistas científicas</t>
  </si>
  <si>
    <t xml:space="preserve">Título del </t>
  </si>
  <si>
    <t>Libro</t>
  </si>
  <si>
    <t>Título del artículo</t>
  </si>
  <si>
    <t>Referencia</t>
  </si>
  <si>
    <t>Sin Referato</t>
  </si>
  <si>
    <t>Revista de divulgación científca</t>
  </si>
  <si>
    <t>Título del</t>
  </si>
  <si>
    <t>Artículo</t>
  </si>
  <si>
    <t>Prci</t>
  </si>
  <si>
    <t>Prdi</t>
  </si>
  <si>
    <t xml:space="preserve"> </t>
  </si>
  <si>
    <t>Completo</t>
  </si>
  <si>
    <t>Indexado</t>
  </si>
  <si>
    <t>No indexado</t>
  </si>
  <si>
    <t>Capítulo</t>
  </si>
  <si>
    <t>Título</t>
  </si>
  <si>
    <t>Pli</t>
  </si>
  <si>
    <t>Sumo nnn</t>
  </si>
  <si>
    <t>Pepe- Juan</t>
  </si>
  <si>
    <t>Rev Fac Cienc Agrarias</t>
  </si>
  <si>
    <t>Vol 2</t>
  </si>
  <si>
    <t>El suelo fértil</t>
  </si>
  <si>
    <t>Adrián</t>
  </si>
  <si>
    <t>Experticia</t>
  </si>
  <si>
    <t>Vol3-pg 23-24</t>
  </si>
  <si>
    <t>Reforastación</t>
  </si>
  <si>
    <t>Pepe</t>
  </si>
  <si>
    <t>Valoración</t>
  </si>
  <si>
    <t>Algarrobo</t>
  </si>
  <si>
    <t>,</t>
  </si>
  <si>
    <t>El Jardín</t>
  </si>
  <si>
    <t>Vol2-pg 3-8</t>
  </si>
  <si>
    <t>Ppooso</t>
  </si>
  <si>
    <r>
      <t>AI</t>
    </r>
    <r>
      <rPr>
        <b/>
        <i/>
        <vertAlign val="subscript"/>
        <sz val="12"/>
        <color theme="1"/>
        <rFont val="Arial"/>
        <family val="2"/>
      </rPr>
      <t>4</t>
    </r>
    <r>
      <rPr>
        <b/>
        <i/>
        <sz val="12"/>
        <color theme="1"/>
        <rFont val="Arial"/>
        <family val="2"/>
      </rPr>
      <t xml:space="preserve"> : Publicaciones en revistas científicas, de divulgación científicas o libros, registros y patentes</t>
    </r>
  </si>
  <si>
    <r>
      <t>AI</t>
    </r>
    <r>
      <rPr>
        <b/>
        <i/>
        <vertAlign val="subscript"/>
        <sz val="12"/>
        <color theme="1"/>
        <rFont val="Arial"/>
        <family val="2"/>
      </rPr>
      <t>41</t>
    </r>
  </si>
  <si>
    <r>
      <t>AI</t>
    </r>
    <r>
      <rPr>
        <b/>
        <i/>
        <vertAlign val="subscript"/>
        <sz val="12"/>
        <color theme="1"/>
        <rFont val="Arial"/>
        <family val="2"/>
      </rPr>
      <t>42</t>
    </r>
  </si>
  <si>
    <r>
      <t>AI</t>
    </r>
    <r>
      <rPr>
        <b/>
        <i/>
        <vertAlign val="subscript"/>
        <sz val="12"/>
        <color theme="1"/>
        <rFont val="Arial"/>
        <family val="2"/>
      </rPr>
      <t>43</t>
    </r>
  </si>
  <si>
    <r>
      <t>AI</t>
    </r>
    <r>
      <rPr>
        <b/>
        <i/>
        <vertAlign val="subscript"/>
        <sz val="12"/>
        <color theme="1"/>
        <rFont val="Arial"/>
        <family val="2"/>
      </rPr>
      <t>44</t>
    </r>
  </si>
  <si>
    <t>pbi</t>
  </si>
  <si>
    <t>AI5 : Participación en reuniones  científicas, de divulgación científicas o libros, registros y patentes</t>
  </si>
  <si>
    <t>Congreso</t>
  </si>
  <si>
    <t>Jornada</t>
  </si>
  <si>
    <t>Worksop</t>
  </si>
  <si>
    <t>Simposio</t>
  </si>
  <si>
    <t>Coloquio</t>
  </si>
  <si>
    <t>Resumen</t>
  </si>
  <si>
    <t>Póster</t>
  </si>
  <si>
    <t>Trabajo Completo</t>
  </si>
  <si>
    <t>Asistencia</t>
  </si>
  <si>
    <t>Evento</t>
  </si>
  <si>
    <t>Lugar</t>
  </si>
  <si>
    <t>Momento</t>
  </si>
  <si>
    <t>Jornal</t>
  </si>
  <si>
    <t>Worshop</t>
  </si>
  <si>
    <r>
      <t>AI</t>
    </r>
    <r>
      <rPr>
        <b/>
        <i/>
        <vertAlign val="subscript"/>
        <sz val="12"/>
        <color theme="1"/>
        <rFont val="Arial"/>
        <family val="2"/>
      </rPr>
      <t>51</t>
    </r>
  </si>
  <si>
    <t>UN</t>
  </si>
  <si>
    <t>PR</t>
  </si>
  <si>
    <t>NAC</t>
  </si>
  <si>
    <t>INT</t>
  </si>
  <si>
    <t>NACINT</t>
  </si>
  <si>
    <t>SISI</t>
  </si>
  <si>
    <t>MOD</t>
  </si>
  <si>
    <t>LL</t>
  </si>
  <si>
    <t>DDR</t>
  </si>
  <si>
    <t>Salta</t>
  </si>
  <si>
    <t>Mendoza</t>
  </si>
  <si>
    <t>Paraguay</t>
  </si>
  <si>
    <t>Córdoba</t>
  </si>
  <si>
    <t>Marzo</t>
  </si>
  <si>
    <t>Abril</t>
  </si>
  <si>
    <t>Mayo</t>
  </si>
  <si>
    <t>Junio</t>
  </si>
  <si>
    <t>Conferencista</t>
  </si>
  <si>
    <t>Trabajo Final</t>
  </si>
  <si>
    <t>Organización</t>
  </si>
  <si>
    <t>Evaluador</t>
  </si>
  <si>
    <t>Expositor</t>
  </si>
  <si>
    <r>
      <t>par</t>
    </r>
    <r>
      <rPr>
        <b/>
        <i/>
        <vertAlign val="subscript"/>
        <sz val="12"/>
        <color theme="1"/>
        <rFont val="Arial"/>
        <family val="2"/>
      </rPr>
      <t>i</t>
    </r>
  </si>
  <si>
    <r>
      <t>Ep</t>
    </r>
    <r>
      <rPr>
        <b/>
        <i/>
        <vertAlign val="subscript"/>
        <sz val="12"/>
        <color theme="1"/>
        <rFont val="Arial"/>
        <family val="2"/>
      </rPr>
      <t>i</t>
    </r>
  </si>
  <si>
    <r>
      <t>Ev</t>
    </r>
    <r>
      <rPr>
        <b/>
        <i/>
        <vertAlign val="subscript"/>
        <sz val="12"/>
        <color theme="1"/>
        <rFont val="Arial"/>
        <family val="2"/>
      </rPr>
      <t>i</t>
    </r>
  </si>
  <si>
    <r>
      <t xml:space="preserve"> AI</t>
    </r>
    <r>
      <rPr>
        <b/>
        <i/>
        <vertAlign val="subscript"/>
        <sz val="12"/>
        <color theme="1"/>
        <rFont val="Arial"/>
        <family val="2"/>
      </rPr>
      <t>5</t>
    </r>
  </si>
  <si>
    <r>
      <t>AI</t>
    </r>
    <r>
      <rPr>
        <b/>
        <i/>
        <vertAlign val="subscript"/>
        <sz val="12"/>
        <color theme="1"/>
        <rFont val="Arial"/>
        <family val="2"/>
      </rPr>
      <t>52</t>
    </r>
  </si>
  <si>
    <r>
      <t>AI</t>
    </r>
    <r>
      <rPr>
        <b/>
        <i/>
        <vertAlign val="subscript"/>
        <sz val="12"/>
        <color theme="1"/>
        <rFont val="Arial"/>
        <family val="2"/>
      </rPr>
      <t>53</t>
    </r>
  </si>
  <si>
    <r>
      <t>AI</t>
    </r>
    <r>
      <rPr>
        <b/>
        <i/>
        <vertAlign val="subscript"/>
        <sz val="12"/>
        <color theme="1"/>
        <rFont val="Arial"/>
        <family val="2"/>
      </rPr>
      <t>54</t>
    </r>
  </si>
  <si>
    <t>SSIT</t>
  </si>
  <si>
    <t>San Juan</t>
  </si>
  <si>
    <t>Octubre</t>
  </si>
  <si>
    <t>Febrero</t>
  </si>
  <si>
    <t>Uruguay</t>
  </si>
  <si>
    <t>Comité Editorial</t>
  </si>
  <si>
    <t>Proyectos</t>
  </si>
  <si>
    <r>
      <t>AI</t>
    </r>
    <r>
      <rPr>
        <b/>
        <i/>
        <vertAlign val="subscript"/>
        <sz val="12"/>
        <color theme="1"/>
        <rFont val="Arial"/>
        <family val="2"/>
      </rPr>
      <t>61</t>
    </r>
  </si>
  <si>
    <t>Igual a 0</t>
  </si>
  <si>
    <t xml:space="preserve">AI6 : Miembro de comité editorial y de  comisiones evaluadoras </t>
  </si>
  <si>
    <t>Ïndice de actividad en investigación parcial y final durante un período de 4 años</t>
  </si>
  <si>
    <r>
      <t>AI</t>
    </r>
    <r>
      <rPr>
        <b/>
        <i/>
        <vertAlign val="subscript"/>
        <sz val="12"/>
        <color theme="1"/>
        <rFont val="Arial"/>
        <family val="2"/>
      </rPr>
      <t>2</t>
    </r>
  </si>
  <si>
    <r>
      <t>AI</t>
    </r>
    <r>
      <rPr>
        <b/>
        <i/>
        <vertAlign val="subscript"/>
        <sz val="12"/>
        <color theme="1"/>
        <rFont val="Arial"/>
        <family val="2"/>
      </rPr>
      <t>3</t>
    </r>
  </si>
  <si>
    <r>
      <t>AI</t>
    </r>
    <r>
      <rPr>
        <b/>
        <i/>
        <vertAlign val="subscript"/>
        <sz val="12"/>
        <color theme="1"/>
        <rFont val="Arial"/>
        <family val="2"/>
      </rPr>
      <t>4</t>
    </r>
  </si>
  <si>
    <r>
      <t>AI</t>
    </r>
    <r>
      <rPr>
        <b/>
        <i/>
        <vertAlign val="subscript"/>
        <sz val="12"/>
        <color theme="1"/>
        <rFont val="Arial"/>
        <family val="2"/>
      </rPr>
      <t>5</t>
    </r>
  </si>
  <si>
    <r>
      <t>AI</t>
    </r>
    <r>
      <rPr>
        <b/>
        <i/>
        <vertAlign val="subscript"/>
        <sz val="12"/>
        <color theme="1"/>
        <rFont val="Arial"/>
        <family val="2"/>
      </rPr>
      <t>6</t>
    </r>
  </si>
  <si>
    <t>Tabla 3:</t>
  </si>
  <si>
    <t>Puntaje</t>
  </si>
  <si>
    <r>
      <t>PI</t>
    </r>
    <r>
      <rPr>
        <b/>
        <i/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/>
    </r>
  </si>
  <si>
    <r>
      <t>PI</t>
    </r>
    <r>
      <rPr>
        <b/>
        <i/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/>
    </r>
  </si>
  <si>
    <r>
      <t>PI</t>
    </r>
    <r>
      <rPr>
        <b/>
        <i/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/>
    </r>
  </si>
  <si>
    <r>
      <t>PI</t>
    </r>
    <r>
      <rPr>
        <b/>
        <i/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/>
    </r>
  </si>
  <si>
    <r>
      <t>PI</t>
    </r>
    <r>
      <rPr>
        <b/>
        <i/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/>
    </r>
  </si>
  <si>
    <r>
      <t>PI</t>
    </r>
    <r>
      <rPr>
        <b/>
        <i/>
        <vertAlign val="subscript"/>
        <sz val="12"/>
        <color theme="1"/>
        <rFont val="Arial"/>
        <family val="2"/>
      </rPr>
      <t>11</t>
    </r>
  </si>
  <si>
    <r>
      <t>PI</t>
    </r>
    <r>
      <rPr>
        <b/>
        <i/>
        <vertAlign val="subscript"/>
        <sz val="12"/>
        <color theme="1"/>
        <rFont val="Arial"/>
        <family val="2"/>
      </rPr>
      <t>12</t>
    </r>
  </si>
  <si>
    <r>
      <t>PI</t>
    </r>
    <r>
      <rPr>
        <b/>
        <i/>
        <vertAlign val="subscript"/>
        <sz val="12"/>
        <color theme="1"/>
        <rFont val="Arial"/>
        <family val="2"/>
      </rPr>
      <t>13</t>
    </r>
  </si>
  <si>
    <r>
      <t>PI</t>
    </r>
    <r>
      <rPr>
        <b/>
        <i/>
        <vertAlign val="subscript"/>
        <sz val="12"/>
        <color theme="1"/>
        <rFont val="Arial"/>
        <family val="2"/>
      </rPr>
      <t>14</t>
    </r>
  </si>
  <si>
    <t>Puntajes totales obtenidos en cada año,  para las diferentes dimensiones de la actividad de investigación declarada</t>
  </si>
  <si>
    <r>
      <t>PI</t>
    </r>
    <r>
      <rPr>
        <b/>
        <i/>
        <vertAlign val="subscript"/>
        <sz val="12"/>
        <color theme="1"/>
        <rFont val="Arial"/>
        <family val="2"/>
      </rPr>
      <t>21</t>
    </r>
  </si>
  <si>
    <r>
      <t>PI</t>
    </r>
    <r>
      <rPr>
        <b/>
        <i/>
        <vertAlign val="subscript"/>
        <sz val="12"/>
        <color theme="1"/>
        <rFont val="Arial"/>
        <family val="2"/>
      </rPr>
      <t>22</t>
    </r>
  </si>
  <si>
    <r>
      <t>PI</t>
    </r>
    <r>
      <rPr>
        <b/>
        <i/>
        <vertAlign val="subscript"/>
        <sz val="12"/>
        <color theme="1"/>
        <rFont val="Arial"/>
        <family val="2"/>
      </rPr>
      <t>23</t>
    </r>
  </si>
  <si>
    <r>
      <t>PI</t>
    </r>
    <r>
      <rPr>
        <b/>
        <i/>
        <vertAlign val="subscript"/>
        <sz val="12"/>
        <color theme="1"/>
        <rFont val="Arial"/>
        <family val="2"/>
      </rPr>
      <t>24</t>
    </r>
  </si>
  <si>
    <r>
      <t>PI</t>
    </r>
    <r>
      <rPr>
        <b/>
        <i/>
        <vertAlign val="subscript"/>
        <sz val="12"/>
        <color theme="1"/>
        <rFont val="Arial"/>
        <family val="2"/>
      </rPr>
      <t>3p</t>
    </r>
  </si>
  <si>
    <r>
      <t>PI</t>
    </r>
    <r>
      <rPr>
        <b/>
        <i/>
        <vertAlign val="subscript"/>
        <sz val="12"/>
        <color theme="1"/>
        <rFont val="Arial"/>
        <family val="2"/>
      </rPr>
      <t>41</t>
    </r>
  </si>
  <si>
    <r>
      <t>PI</t>
    </r>
    <r>
      <rPr>
        <b/>
        <i/>
        <vertAlign val="subscript"/>
        <sz val="12"/>
        <color theme="1"/>
        <rFont val="Arial"/>
        <family val="2"/>
      </rPr>
      <t>42</t>
    </r>
  </si>
  <si>
    <r>
      <t>PI</t>
    </r>
    <r>
      <rPr>
        <b/>
        <i/>
        <vertAlign val="subscript"/>
        <sz val="12"/>
        <color theme="1"/>
        <rFont val="Arial"/>
        <family val="2"/>
      </rPr>
      <t>43</t>
    </r>
  </si>
  <si>
    <r>
      <t>PI</t>
    </r>
    <r>
      <rPr>
        <b/>
        <i/>
        <vertAlign val="subscript"/>
        <sz val="12"/>
        <color theme="1"/>
        <rFont val="Arial"/>
        <family val="2"/>
      </rPr>
      <t>44</t>
    </r>
  </si>
  <si>
    <r>
      <t>En relación al PI</t>
    </r>
    <r>
      <rPr>
        <b/>
        <i/>
        <vertAlign val="subscript"/>
        <sz val="12"/>
        <color theme="1"/>
        <rFont val="Arial"/>
        <family val="2"/>
      </rPr>
      <t>4</t>
    </r>
  </si>
  <si>
    <r>
      <t xml:space="preserve"> AI</t>
    </r>
    <r>
      <rPr>
        <b/>
        <i/>
        <vertAlign val="subscript"/>
        <sz val="12"/>
        <color theme="1"/>
        <rFont val="Arial"/>
        <family val="2"/>
      </rPr>
      <t>4</t>
    </r>
  </si>
  <si>
    <r>
      <t>PI</t>
    </r>
    <r>
      <rPr>
        <b/>
        <i/>
        <vertAlign val="subscript"/>
        <sz val="12"/>
        <color theme="1"/>
        <rFont val="Arial"/>
        <family val="2"/>
      </rPr>
      <t>51</t>
    </r>
  </si>
  <si>
    <r>
      <t>PI</t>
    </r>
    <r>
      <rPr>
        <b/>
        <i/>
        <vertAlign val="subscript"/>
        <sz val="12"/>
        <color theme="1"/>
        <rFont val="Arial"/>
        <family val="2"/>
      </rPr>
      <t>52</t>
    </r>
  </si>
  <si>
    <r>
      <t>PI</t>
    </r>
    <r>
      <rPr>
        <b/>
        <i/>
        <vertAlign val="subscript"/>
        <sz val="12"/>
        <color theme="1"/>
        <rFont val="Arial"/>
        <family val="2"/>
      </rPr>
      <t>53</t>
    </r>
  </si>
  <si>
    <r>
      <t>PI</t>
    </r>
    <r>
      <rPr>
        <b/>
        <i/>
        <vertAlign val="subscript"/>
        <sz val="12"/>
        <color theme="1"/>
        <rFont val="Arial"/>
        <family val="2"/>
      </rPr>
      <t>54</t>
    </r>
  </si>
  <si>
    <r>
      <t>PI</t>
    </r>
    <r>
      <rPr>
        <b/>
        <i/>
        <vertAlign val="subscript"/>
        <sz val="12"/>
        <color theme="1"/>
        <rFont val="Arial"/>
        <family val="2"/>
      </rPr>
      <t>61</t>
    </r>
  </si>
  <si>
    <r>
      <t>PI</t>
    </r>
    <r>
      <rPr>
        <b/>
        <i/>
        <vertAlign val="subscript"/>
        <sz val="12"/>
        <color theme="1"/>
        <rFont val="Arial"/>
        <family val="2"/>
      </rPr>
      <t>62</t>
    </r>
  </si>
  <si>
    <r>
      <t>AI</t>
    </r>
    <r>
      <rPr>
        <b/>
        <i/>
        <vertAlign val="subscript"/>
        <sz val="12"/>
        <color theme="1"/>
        <rFont val="Arial"/>
        <family val="2"/>
      </rPr>
      <t>62</t>
    </r>
  </si>
  <si>
    <r>
      <t>PI</t>
    </r>
    <r>
      <rPr>
        <b/>
        <i/>
        <vertAlign val="subscript"/>
        <sz val="12"/>
        <color theme="1"/>
        <rFont val="Arial"/>
        <family val="2"/>
      </rPr>
      <t>63</t>
    </r>
  </si>
  <si>
    <r>
      <t>AI</t>
    </r>
    <r>
      <rPr>
        <b/>
        <i/>
        <vertAlign val="subscript"/>
        <sz val="12"/>
        <color theme="1"/>
        <rFont val="Arial"/>
        <family val="2"/>
      </rPr>
      <t>63</t>
    </r>
  </si>
  <si>
    <r>
      <t>PI</t>
    </r>
    <r>
      <rPr>
        <b/>
        <i/>
        <vertAlign val="subscript"/>
        <sz val="12"/>
        <color theme="1"/>
        <rFont val="Arial"/>
        <family val="2"/>
      </rPr>
      <t>64</t>
    </r>
  </si>
  <si>
    <r>
      <t>AI</t>
    </r>
    <r>
      <rPr>
        <b/>
        <i/>
        <vertAlign val="subscript"/>
        <sz val="12"/>
        <color theme="1"/>
        <rFont val="Arial"/>
        <family val="2"/>
      </rPr>
      <t>64</t>
    </r>
  </si>
  <si>
    <t>Total</t>
  </si>
  <si>
    <t>Medio</t>
  </si>
  <si>
    <t>AIp</t>
  </si>
  <si>
    <t>Actividad Investigación</t>
  </si>
  <si>
    <t>Categoría (j)</t>
  </si>
  <si>
    <t>Dedicación (l)</t>
  </si>
  <si>
    <r>
      <t xml:space="preserve"> AI</t>
    </r>
    <r>
      <rPr>
        <b/>
        <i/>
        <vertAlign val="subscript"/>
        <sz val="12"/>
        <color theme="1"/>
        <rFont val="Arial"/>
        <family val="2"/>
      </rPr>
      <t>6</t>
    </r>
  </si>
  <si>
    <t>Umbrales Básicos para las dimensiones en investigación según categoría y  dedicación</t>
  </si>
  <si>
    <t>Cuadro 3.1:</t>
  </si>
  <si>
    <r>
      <rPr>
        <b/>
        <i/>
        <sz val="12"/>
        <color theme="1"/>
        <rFont val="Arial"/>
        <family val="2"/>
      </rPr>
      <t>Cuadro 3.3.1.1</t>
    </r>
    <r>
      <rPr>
        <i/>
        <sz val="12"/>
        <color theme="1"/>
        <rFont val="Arial"/>
        <family val="2"/>
      </rPr>
      <t>:</t>
    </r>
    <r>
      <rPr>
        <sz val="12"/>
        <color theme="1"/>
        <rFont val="Arial"/>
        <family val="2"/>
      </rPr>
      <t xml:space="preserve"> Ponderaciones según categorización</t>
    </r>
  </si>
  <si>
    <r>
      <rPr>
        <b/>
        <i/>
        <sz val="12"/>
        <color theme="1"/>
        <rFont val="Arial"/>
        <family val="2"/>
      </rPr>
      <t>Cuadro 3.3.1.2:</t>
    </r>
    <r>
      <rPr>
        <sz val="12"/>
        <color theme="1"/>
        <rFont val="Arial"/>
        <family val="2"/>
      </rPr>
      <t xml:space="preserve"> Mínimos de PI</t>
    </r>
    <r>
      <rPr>
        <vertAlign val="sub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 xml:space="preserve"> según categoría docente</t>
    </r>
  </si>
  <si>
    <r>
      <t>Cuadro 3.3.1.3: Valorización de AI</t>
    </r>
    <r>
      <rPr>
        <b/>
        <i/>
        <vertAlign val="subscript"/>
        <sz val="12"/>
        <color theme="1"/>
        <rFont val="Arial"/>
        <family val="2"/>
      </rPr>
      <t>1</t>
    </r>
    <r>
      <rPr>
        <b/>
        <i/>
        <sz val="12"/>
        <color theme="1"/>
        <rFont val="Arial"/>
        <family val="2"/>
      </rPr>
      <t xml:space="preserve"> según valor de PI</t>
    </r>
    <r>
      <rPr>
        <b/>
        <i/>
        <vertAlign val="subscript"/>
        <sz val="12"/>
        <color theme="1"/>
        <rFont val="Arial"/>
        <family val="2"/>
      </rPr>
      <t>1</t>
    </r>
  </si>
  <si>
    <r>
      <rPr>
        <b/>
        <i/>
        <sz val="12"/>
        <color theme="1"/>
        <rFont val="Arial"/>
        <family val="2"/>
      </rPr>
      <t>Cuadro 3.3.2.1</t>
    </r>
    <r>
      <rPr>
        <b/>
        <sz val="12"/>
        <color theme="1"/>
        <rFont val="Arial"/>
        <family val="2"/>
      </rPr>
      <t xml:space="preserve">: </t>
    </r>
    <r>
      <rPr>
        <sz val="12"/>
        <color theme="1"/>
        <rFont val="Arial"/>
        <family val="2"/>
      </rPr>
      <t>Valoración según tipo de proyecto</t>
    </r>
  </si>
  <si>
    <r>
      <rPr>
        <b/>
        <i/>
        <sz val="12"/>
        <color theme="1"/>
        <rFont val="Arial"/>
        <family val="2"/>
      </rPr>
      <t>Cuadro 3.3.2.2</t>
    </r>
    <r>
      <rPr>
        <b/>
        <sz val="12"/>
        <color theme="1"/>
        <rFont val="Arial"/>
        <family val="2"/>
      </rPr>
      <t xml:space="preserve">: </t>
    </r>
    <r>
      <rPr>
        <sz val="12"/>
        <color theme="1"/>
        <rFont val="Arial"/>
        <family val="2"/>
      </rPr>
      <t>Valoración según la característica del proyecto</t>
    </r>
  </si>
  <si>
    <r>
      <rPr>
        <b/>
        <i/>
        <sz val="12"/>
        <color theme="1"/>
        <rFont val="Arial"/>
        <family val="2"/>
      </rPr>
      <t>Cuadro 3.3.2.3</t>
    </r>
    <r>
      <rPr>
        <b/>
        <sz val="12"/>
        <color theme="1"/>
        <rFont val="Arial"/>
        <family val="2"/>
      </rPr>
      <t>:</t>
    </r>
    <r>
      <rPr>
        <sz val="12"/>
        <color theme="1"/>
        <rFont val="Arial"/>
        <family val="2"/>
      </rPr>
      <t xml:space="preserve"> Valoración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 según la participación al proyecto</t>
    </r>
  </si>
  <si>
    <r>
      <rPr>
        <b/>
        <i/>
        <sz val="12"/>
        <color theme="1"/>
        <rFont val="Arial"/>
        <family val="2"/>
      </rPr>
      <t>Cuadro 3.3.2.4:</t>
    </r>
    <r>
      <rPr>
        <sz val="12"/>
        <color theme="1"/>
        <rFont val="Arial"/>
        <family val="2"/>
      </rPr>
      <t xml:space="preserve"> Mínimos de PI según categoría docente</t>
    </r>
  </si>
  <si>
    <r>
      <t>Cuadro 3.3.2.5: Valorización de AI</t>
    </r>
    <r>
      <rPr>
        <b/>
        <i/>
        <vertAlign val="subscript"/>
        <sz val="12"/>
        <color theme="1"/>
        <rFont val="Arial"/>
        <family val="2"/>
      </rPr>
      <t>2</t>
    </r>
    <r>
      <rPr>
        <b/>
        <i/>
        <sz val="12"/>
        <color theme="1"/>
        <rFont val="Arial"/>
        <family val="2"/>
      </rPr>
      <t xml:space="preserve"> según valor de PI</t>
    </r>
  </si>
  <si>
    <r>
      <rPr>
        <b/>
        <i/>
        <sz val="12"/>
        <color theme="1"/>
        <rFont val="Arial"/>
        <family val="2"/>
      </rPr>
      <t>Cuadro 3.3.4.3:</t>
    </r>
    <r>
      <rPr>
        <sz val="12"/>
        <color theme="1"/>
        <rFont val="Arial"/>
        <family val="2"/>
      </rPr>
      <t xml:space="preserve"> Mínimos de PI</t>
    </r>
    <r>
      <rPr>
        <vertAlign val="sub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 xml:space="preserve"> según categoría docente</t>
    </r>
  </si>
  <si>
    <r>
      <t>Cuadro 3.3.4.4: Valorización de AI</t>
    </r>
    <r>
      <rPr>
        <b/>
        <i/>
        <vertAlign val="subscript"/>
        <sz val="12"/>
        <color theme="1"/>
        <rFont val="Arial"/>
        <family val="2"/>
      </rPr>
      <t>4</t>
    </r>
    <r>
      <rPr>
        <b/>
        <i/>
        <sz val="12"/>
        <color theme="1"/>
        <rFont val="Arial"/>
        <family val="2"/>
      </rPr>
      <t xml:space="preserve"> según valor de PI</t>
    </r>
    <r>
      <rPr>
        <b/>
        <i/>
        <vertAlign val="subscript"/>
        <sz val="12"/>
        <color theme="1"/>
        <rFont val="Arial"/>
        <family val="2"/>
      </rPr>
      <t>4</t>
    </r>
  </si>
  <si>
    <r>
      <t>fd</t>
    </r>
    <r>
      <rPr>
        <b/>
        <vertAlign val="subscript"/>
        <sz val="12"/>
        <color theme="1"/>
        <rFont val="Arial"/>
        <family val="2"/>
      </rPr>
      <t>ip</t>
    </r>
  </si>
  <si>
    <r>
      <t>Pry</t>
    </r>
    <r>
      <rPr>
        <b/>
        <i/>
        <vertAlign val="subscript"/>
        <sz val="12"/>
        <color theme="1"/>
        <rFont val="Arial"/>
        <family val="2"/>
      </rPr>
      <t>ip</t>
    </r>
  </si>
  <si>
    <r>
      <t>Pr</t>
    </r>
    <r>
      <rPr>
        <b/>
        <vertAlign val="subscript"/>
        <sz val="12"/>
        <color theme="1"/>
        <rFont val="Arial"/>
        <family val="2"/>
      </rPr>
      <t>ip</t>
    </r>
  </si>
  <si>
    <t>Referencias</t>
  </si>
  <si>
    <r>
      <t>PI</t>
    </r>
    <r>
      <rPr>
        <b/>
        <i/>
        <vertAlign val="subscript"/>
        <sz val="12"/>
        <color theme="1"/>
        <rFont val="Arial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</si>
  <si>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PI</t>
    </r>
    <r>
      <rPr>
        <b/>
        <i/>
        <vertAlign val="subscript"/>
        <sz val="12"/>
        <color theme="1"/>
        <rFont val="Arial"/>
        <family val="2"/>
      </rPr>
      <t>3</t>
    </r>
    <r>
      <rPr>
        <sz val="11"/>
        <color theme="1"/>
        <rFont val="Calibri"/>
        <family val="2"/>
        <scheme val="minor"/>
      </rPr>
      <t/>
    </r>
  </si>
  <si>
    <r>
      <t>PI</t>
    </r>
    <r>
      <rPr>
        <b/>
        <i/>
        <vertAlign val="subscript"/>
        <sz val="12"/>
        <color theme="1"/>
        <rFont val="Arial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</si>
  <si>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>PI</t>
    </r>
    <r>
      <rPr>
        <b/>
        <i/>
        <vertAlign val="subscript"/>
        <sz val="12"/>
        <color theme="1"/>
        <rFont val="Arial"/>
        <family val="2"/>
      </rPr>
      <t>5</t>
    </r>
    <r>
      <rPr>
        <sz val="11"/>
        <color theme="1"/>
        <rFont val="Calibri"/>
        <family val="2"/>
        <scheme val="minor"/>
      </rPr>
      <t/>
    </r>
  </si>
  <si>
    <r>
      <t>PI</t>
    </r>
    <r>
      <rPr>
        <b/>
        <i/>
        <vertAlign val="subscript"/>
        <sz val="12"/>
        <color theme="1"/>
        <rFont val="Arial"/>
        <family val="2"/>
      </rPr>
      <t>6</t>
    </r>
    <r>
      <rPr>
        <sz val="11"/>
        <color theme="1"/>
        <rFont val="Calibri"/>
        <family val="2"/>
        <scheme val="minor"/>
      </rPr>
      <t/>
    </r>
  </si>
  <si>
    <t>Categorización</t>
  </si>
  <si>
    <t>Proyectos acreditados durante el periodo</t>
  </si>
  <si>
    <t>Impacto de las publicaciones en los últimos 5 años</t>
  </si>
  <si>
    <t>Publicaciones en revistas científicas, de divulgación científicas o libros, registros y patentes</t>
  </si>
  <si>
    <t>Participación en reuniones  científicas, de divulgación científicas o libros, registros y patentes</t>
  </si>
  <si>
    <t>Miembro de comité editorial y de  comisiones evaluadoras</t>
  </si>
  <si>
    <t>UBIpjl</t>
  </si>
  <si>
    <t>en Investigación</t>
  </si>
  <si>
    <t>Índice de Actividad</t>
  </si>
  <si>
    <t>en k años</t>
  </si>
  <si>
    <t>Corrección temporal</t>
  </si>
  <si>
    <t>Tiempo</t>
  </si>
  <si>
    <t>factor de</t>
  </si>
  <si>
    <t>corrección</t>
  </si>
  <si>
    <r>
      <t>(t</t>
    </r>
    <r>
      <rPr>
        <b/>
        <i/>
        <vertAlign val="subscript"/>
        <sz val="16"/>
        <color theme="1"/>
        <rFont val="Arial"/>
        <family val="2"/>
      </rPr>
      <t>p</t>
    </r>
    <r>
      <rPr>
        <b/>
        <i/>
        <sz val="12"/>
        <color theme="1"/>
        <rFont val="Arial"/>
        <family val="2"/>
      </rPr>
      <t>)</t>
    </r>
  </si>
  <si>
    <r>
      <t>fc</t>
    </r>
    <r>
      <rPr>
        <b/>
        <i/>
        <vertAlign val="subscript"/>
        <sz val="16"/>
        <color theme="1"/>
        <rFont val="Arial"/>
        <family val="2"/>
      </rPr>
      <t>k</t>
    </r>
  </si>
  <si>
    <t>k</t>
  </si>
  <si>
    <t xml:space="preserve"> (años)</t>
  </si>
  <si>
    <r>
      <t>AI</t>
    </r>
    <r>
      <rPr>
        <b/>
        <i/>
        <vertAlign val="subscript"/>
        <sz val="12"/>
        <color theme="1"/>
        <rFont val="Arial"/>
        <family val="2"/>
      </rPr>
      <t>3</t>
    </r>
    <r>
      <rPr>
        <b/>
        <i/>
        <sz val="12"/>
        <color theme="1"/>
        <rFont val="Arial"/>
        <family val="2"/>
      </rPr>
      <t xml:space="preserve"> : Formación de recursos humanos en investigación</t>
    </r>
  </si>
  <si>
    <t>Pasante</t>
  </si>
  <si>
    <t>Investigador</t>
  </si>
  <si>
    <t>Concurrente</t>
  </si>
  <si>
    <t>Tesista de Posgrado</t>
  </si>
  <si>
    <t>Cuadro 3.3.3.1:  Valoración según categoría</t>
  </si>
  <si>
    <r>
      <t>Vc</t>
    </r>
    <r>
      <rPr>
        <b/>
        <i/>
        <vertAlign val="subscript"/>
        <sz val="12"/>
        <color theme="1"/>
        <rFont val="Arial"/>
        <family val="2"/>
      </rPr>
      <t>ip</t>
    </r>
  </si>
  <si>
    <r>
      <t>Rd</t>
    </r>
    <r>
      <rPr>
        <b/>
        <i/>
        <vertAlign val="subscript"/>
        <sz val="12"/>
        <color theme="1"/>
        <rFont val="Arial"/>
        <family val="2"/>
      </rPr>
      <t>ip</t>
    </r>
  </si>
  <si>
    <t>Tesista de posgrado</t>
  </si>
  <si>
    <t>Cuadro 3.3.3.2:  Valoración según el rol del docente</t>
  </si>
  <si>
    <t>Rol</t>
  </si>
  <si>
    <t>Director</t>
  </si>
  <si>
    <t>Codirector</t>
  </si>
  <si>
    <t>Rol docente</t>
  </si>
  <si>
    <r>
      <t>PI</t>
    </r>
    <r>
      <rPr>
        <b/>
        <i/>
        <vertAlign val="subscript"/>
        <sz val="12"/>
        <color theme="1"/>
        <rFont val="Arial"/>
        <family val="2"/>
      </rPr>
      <t>31</t>
    </r>
  </si>
  <si>
    <r>
      <t>AI</t>
    </r>
    <r>
      <rPr>
        <b/>
        <i/>
        <vertAlign val="subscript"/>
        <sz val="12"/>
        <color theme="1"/>
        <rFont val="Arial"/>
        <family val="2"/>
      </rPr>
      <t>31</t>
    </r>
  </si>
  <si>
    <r>
      <rPr>
        <b/>
        <i/>
        <sz val="12"/>
        <color theme="1"/>
        <rFont val="Arial"/>
        <family val="2"/>
      </rPr>
      <t>Cuadro 3.3.3.3:</t>
    </r>
    <r>
      <rPr>
        <sz val="12"/>
        <color theme="1"/>
        <rFont val="Arial"/>
        <family val="2"/>
      </rPr>
      <t xml:space="preserve"> Mínimos de PI</t>
    </r>
    <r>
      <rPr>
        <vertAlign val="sub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 según categoría docente</t>
    </r>
  </si>
  <si>
    <r>
      <t>Cuadro 3.3.3.4: Valorización de AI</t>
    </r>
    <r>
      <rPr>
        <b/>
        <i/>
        <vertAlign val="subscript"/>
        <sz val="12"/>
        <color theme="1"/>
        <rFont val="Arial"/>
        <family val="2"/>
      </rPr>
      <t>3</t>
    </r>
    <r>
      <rPr>
        <b/>
        <i/>
        <sz val="12"/>
        <color theme="1"/>
        <rFont val="Arial"/>
        <family val="2"/>
      </rPr>
      <t xml:space="preserve"> según valor de PI</t>
    </r>
    <r>
      <rPr>
        <b/>
        <i/>
        <vertAlign val="subscript"/>
        <sz val="12"/>
        <color theme="1"/>
        <rFont val="Arial"/>
        <family val="2"/>
      </rPr>
      <t>3</t>
    </r>
  </si>
  <si>
    <r>
      <t>PI</t>
    </r>
    <r>
      <rPr>
        <b/>
        <i/>
        <vertAlign val="subscript"/>
        <sz val="12"/>
        <color theme="1"/>
        <rFont val="Arial"/>
        <family val="2"/>
      </rPr>
      <t>32</t>
    </r>
  </si>
  <si>
    <r>
      <t>AI</t>
    </r>
    <r>
      <rPr>
        <b/>
        <i/>
        <vertAlign val="subscript"/>
        <sz val="12"/>
        <color theme="1"/>
        <rFont val="Arial"/>
        <family val="2"/>
      </rPr>
      <t>32</t>
    </r>
  </si>
  <si>
    <r>
      <t>PI</t>
    </r>
    <r>
      <rPr>
        <b/>
        <i/>
        <vertAlign val="subscript"/>
        <sz val="12"/>
        <color theme="1"/>
        <rFont val="Arial"/>
        <family val="2"/>
      </rPr>
      <t>33</t>
    </r>
  </si>
  <si>
    <r>
      <t>AI</t>
    </r>
    <r>
      <rPr>
        <b/>
        <i/>
        <vertAlign val="subscript"/>
        <sz val="12"/>
        <color theme="1"/>
        <rFont val="Arial"/>
        <family val="2"/>
      </rPr>
      <t>33</t>
    </r>
  </si>
  <si>
    <r>
      <t>PI</t>
    </r>
    <r>
      <rPr>
        <b/>
        <i/>
        <vertAlign val="subscript"/>
        <sz val="12"/>
        <color theme="1"/>
        <rFont val="Arial"/>
        <family val="2"/>
      </rPr>
      <t>34</t>
    </r>
  </si>
  <si>
    <r>
      <t>AI</t>
    </r>
    <r>
      <rPr>
        <b/>
        <i/>
        <vertAlign val="subscript"/>
        <sz val="12"/>
        <color theme="1"/>
        <rFont val="Arial"/>
        <family val="2"/>
      </rPr>
      <t>34</t>
    </r>
  </si>
  <si>
    <t>UBIjl</t>
  </si>
  <si>
    <r>
      <rPr>
        <b/>
        <i/>
        <sz val="12"/>
        <color theme="1"/>
        <rFont val="Arial"/>
        <family val="2"/>
      </rPr>
      <t>Cuadro 3.3.4.1:</t>
    </r>
    <r>
      <rPr>
        <sz val="12"/>
        <color theme="1"/>
        <rFont val="Arial"/>
        <family val="2"/>
      </rPr>
      <t xml:space="preserve"> Valoración según cuartil de revista indexada</t>
    </r>
  </si>
  <si>
    <r>
      <rPr>
        <b/>
        <i/>
        <sz val="12"/>
        <color theme="1"/>
        <rFont val="Arial"/>
        <family val="2"/>
      </rPr>
      <t>Cuadro 3.3.4.2:</t>
    </r>
    <r>
      <rPr>
        <sz val="12"/>
        <color theme="1"/>
        <rFont val="Arial"/>
        <family val="2"/>
      </rPr>
      <t xml:space="preserve"> Valoración según publicación de libros</t>
    </r>
  </si>
  <si>
    <t>Indexada</t>
  </si>
  <si>
    <t>Tipo de Evaluación</t>
  </si>
  <si>
    <t>Resúmen</t>
  </si>
  <si>
    <t>Alcance</t>
  </si>
  <si>
    <t>UNCuyo</t>
  </si>
  <si>
    <t>Provincial</t>
  </si>
  <si>
    <t>Nac-Inter</t>
  </si>
  <si>
    <t>Nome</t>
  </si>
  <si>
    <t>Coke</t>
  </si>
  <si>
    <t>Comité</t>
  </si>
  <si>
    <r>
      <t>r</t>
    </r>
    <r>
      <rPr>
        <b/>
        <i/>
        <vertAlign val="subscript"/>
        <sz val="12"/>
        <color theme="1"/>
        <rFont val="Arial"/>
        <family val="2"/>
      </rPr>
      <t>ip</t>
    </r>
  </si>
  <si>
    <r>
      <t>rv</t>
    </r>
    <r>
      <rPr>
        <b/>
        <i/>
        <vertAlign val="subscript"/>
        <sz val="12"/>
        <color theme="1"/>
        <rFont val="Arial"/>
        <family val="2"/>
      </rPr>
      <t>ip</t>
    </r>
  </si>
  <si>
    <r>
      <t>tv</t>
    </r>
    <r>
      <rPr>
        <b/>
        <i/>
        <vertAlign val="subscript"/>
        <sz val="12"/>
        <color theme="1"/>
        <rFont val="Arial"/>
        <family val="2"/>
      </rPr>
      <t>ip</t>
    </r>
  </si>
  <si>
    <r>
      <t>a</t>
    </r>
    <r>
      <rPr>
        <b/>
        <i/>
        <vertAlign val="subscript"/>
        <sz val="12"/>
        <color theme="1"/>
        <rFont val="Arial"/>
        <family val="2"/>
      </rPr>
      <t>ip</t>
    </r>
  </si>
  <si>
    <r>
      <t xml:space="preserve">Cuadro 3.3.6.2: </t>
    </r>
    <r>
      <rPr>
        <sz val="12"/>
        <color theme="1"/>
        <rFont val="Arial"/>
        <family val="2"/>
      </rPr>
      <t>Valorización según tipo de evaluación</t>
    </r>
  </si>
  <si>
    <r>
      <rPr>
        <b/>
        <i/>
        <sz val="12"/>
        <color theme="1"/>
        <rFont val="Arial"/>
        <family val="2"/>
      </rPr>
      <t>Cuadro 3.3.6.3:</t>
    </r>
    <r>
      <rPr>
        <sz val="12"/>
        <color theme="1"/>
        <rFont val="Arial"/>
        <family val="2"/>
      </rPr>
      <t xml:space="preserve"> Valoración  según alcance de evaluación</t>
    </r>
  </si>
  <si>
    <t>Nacional Internacional</t>
  </si>
  <si>
    <r>
      <rPr>
        <b/>
        <i/>
        <sz val="12"/>
        <color theme="1"/>
        <rFont val="Arial"/>
        <family val="2"/>
      </rPr>
      <t xml:space="preserve">Cuadro3.3.6.1: </t>
    </r>
    <r>
      <rPr>
        <sz val="12"/>
        <color theme="1"/>
        <rFont val="Arial"/>
        <family val="2"/>
      </rPr>
      <t>Valoración según comité rol</t>
    </r>
  </si>
  <si>
    <r>
      <t xml:space="preserve">Cuadro 3.4.5.5: </t>
    </r>
    <r>
      <rPr>
        <sz val="12"/>
        <color theme="1"/>
        <rFont val="Arial"/>
        <family val="2"/>
      </rPr>
      <t>Valorización de AI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 xml:space="preserve"> según valor de PI</t>
    </r>
    <r>
      <rPr>
        <vertAlign val="subscript"/>
        <sz val="12"/>
        <color theme="1"/>
        <rFont val="Arial"/>
        <family val="2"/>
      </rPr>
      <t>5</t>
    </r>
  </si>
  <si>
    <r>
      <t>En relación al PI</t>
    </r>
    <r>
      <rPr>
        <b/>
        <i/>
        <vertAlign val="subscript"/>
        <sz val="12"/>
        <color theme="1"/>
        <rFont val="Arial"/>
        <family val="2"/>
      </rPr>
      <t>5</t>
    </r>
  </si>
  <si>
    <r>
      <rPr>
        <b/>
        <i/>
        <sz val="12"/>
        <color theme="1"/>
        <rFont val="Arial"/>
        <family val="2"/>
      </rPr>
      <t>Cuadro 3.4.5.4:</t>
    </r>
    <r>
      <rPr>
        <sz val="12"/>
        <color theme="1"/>
        <rFont val="Arial"/>
        <family val="2"/>
      </rPr>
      <t xml:space="preserve"> Mínimos de PI</t>
    </r>
    <r>
      <rPr>
        <vertAlign val="sub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 xml:space="preserve"> según categoría docente</t>
    </r>
  </si>
  <si>
    <r>
      <t>ev</t>
    </r>
    <r>
      <rPr>
        <b/>
        <i/>
        <vertAlign val="subscript"/>
        <sz val="12"/>
        <color theme="1"/>
        <rFont val="Arial"/>
        <family val="2"/>
      </rPr>
      <t>ip</t>
    </r>
  </si>
  <si>
    <t>Mayor a 50</t>
  </si>
  <si>
    <t xml:space="preserve"> 1 -50</t>
  </si>
  <si>
    <r>
      <rPr>
        <b/>
        <i/>
        <sz val="12"/>
        <color theme="1"/>
        <rFont val="Arial"/>
        <family val="2"/>
      </rPr>
      <t>Cuadro 3.4.5.1:</t>
    </r>
    <r>
      <rPr>
        <sz val="12"/>
        <color theme="1"/>
        <rFont val="Arial"/>
        <family val="2"/>
      </rPr>
      <t xml:space="preserve"> Vonderación según tipo de evento </t>
    </r>
  </si>
  <si>
    <r>
      <rPr>
        <b/>
        <i/>
        <sz val="12"/>
        <color theme="1"/>
        <rFont val="Arial"/>
        <family val="2"/>
      </rPr>
      <t>Cuadro 3.4.5.2:</t>
    </r>
    <r>
      <rPr>
        <sz val="12"/>
        <color theme="1"/>
        <rFont val="Arial"/>
        <family val="2"/>
      </rPr>
      <t xml:space="preserve"> Valoración según el carácter del  evento </t>
    </r>
  </si>
  <si>
    <r>
      <rPr>
        <b/>
        <i/>
        <sz val="12"/>
        <color theme="1"/>
        <rFont val="Arial"/>
        <family val="2"/>
      </rPr>
      <t>Cuadro 3.4.5.3:</t>
    </r>
    <r>
      <rPr>
        <sz val="12"/>
        <color theme="1"/>
        <rFont val="Arial"/>
        <family val="2"/>
      </rPr>
      <t xml:space="preserve"> Valoració según la participación en el  evento </t>
    </r>
  </si>
  <si>
    <r>
      <t xml:space="preserve">Cuadro 3.3.6.4: </t>
    </r>
    <r>
      <rPr>
        <sz val="12"/>
        <color theme="1"/>
        <rFont val="Arial"/>
        <family val="2"/>
      </rPr>
      <t>Valorización de AI</t>
    </r>
    <r>
      <rPr>
        <vertAlign val="subscript"/>
        <sz val="12"/>
        <color theme="1"/>
        <rFont val="Arial"/>
        <family val="2"/>
      </rPr>
      <t>6</t>
    </r>
    <r>
      <rPr>
        <sz val="12"/>
        <color theme="1"/>
        <rFont val="Arial"/>
        <family val="2"/>
      </rPr>
      <t xml:space="preserve"> según valor de PI</t>
    </r>
    <r>
      <rPr>
        <vertAlign val="subscript"/>
        <sz val="12"/>
        <color theme="1"/>
        <rFont val="Arial"/>
        <family val="2"/>
      </rPr>
      <t>6</t>
    </r>
  </si>
  <si>
    <r>
      <t>En relación al PI</t>
    </r>
    <r>
      <rPr>
        <b/>
        <i/>
        <vertAlign val="subscript"/>
        <sz val="12"/>
        <color theme="1"/>
        <rFont val="Arial"/>
        <family val="2"/>
      </rPr>
      <t>6</t>
    </r>
  </si>
  <si>
    <t>NN</t>
  </si>
  <si>
    <t>PP</t>
  </si>
  <si>
    <r>
      <t>IA</t>
    </r>
    <r>
      <rPr>
        <b/>
        <i/>
        <vertAlign val="subscript"/>
        <sz val="16"/>
        <color theme="1"/>
        <rFont val="Arial"/>
        <family val="2"/>
      </rPr>
      <t>2pjl</t>
    </r>
  </si>
  <si>
    <r>
      <t>IA</t>
    </r>
    <r>
      <rPr>
        <b/>
        <i/>
        <vertAlign val="subscript"/>
        <sz val="12"/>
        <color theme="1"/>
        <rFont val="Arial"/>
        <family val="2"/>
      </rPr>
      <t>2kjl</t>
    </r>
  </si>
  <si>
    <t>PIpjl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</si>
</sst>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i/>
      <vertAlign val="subscript"/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b/>
      <i/>
      <sz val="14"/>
      <color theme="1"/>
      <name val="Arial"/>
      <family val="2"/>
    </font>
    <font>
      <vertAlign val="subscript"/>
      <sz val="12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i/>
      <vertAlign val="subscript"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2" fillId="2" borderId="1" xfId="0" applyFont="1" applyFill="1" applyBorder="1" applyAlignment="1">
      <alignment horizontal="centerContinuous"/>
    </xf>
    <xf numFmtId="0" fontId="2" fillId="2" borderId="1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 applyAlignment="1">
      <alignment horizontal="centerContinuous"/>
    </xf>
    <xf numFmtId="0" fontId="2" fillId="2" borderId="0" xfId="0" applyFont="1" applyFill="1" applyBorder="1" applyAlignment="1">
      <alignment horizontal="centerContinuous"/>
    </xf>
    <xf numFmtId="0" fontId="2" fillId="2" borderId="5" xfId="0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Continuous"/>
    </xf>
    <xf numFmtId="0" fontId="2" fillId="2" borderId="9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2" borderId="13" xfId="0" applyFill="1" applyBorder="1"/>
    <xf numFmtId="0" fontId="0" fillId="2" borderId="9" xfId="0" applyFill="1" applyBorder="1" applyAlignment="1">
      <alignment horizontal="centerContinuous"/>
    </xf>
    <xf numFmtId="0" fontId="0" fillId="2" borderId="10" xfId="0" applyFill="1" applyBorder="1" applyAlignment="1">
      <alignment horizontal="centerContinuous"/>
    </xf>
    <xf numFmtId="0" fontId="0" fillId="0" borderId="12" xfId="0" applyBorder="1"/>
    <xf numFmtId="0" fontId="6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Continuous"/>
    </xf>
    <xf numFmtId="0" fontId="0" fillId="0" borderId="5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164" fontId="0" fillId="0" borderId="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7" fillId="0" borderId="4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1" xfId="0" applyFill="1" applyBorder="1"/>
    <xf numFmtId="0" fontId="2" fillId="2" borderId="4" xfId="0" applyFont="1" applyFill="1" applyBorder="1" applyAlignment="1">
      <alignment horizontal="center"/>
    </xf>
    <xf numFmtId="0" fontId="2" fillId="2" borderId="11" xfId="0" applyFont="1" applyFill="1" applyBorder="1"/>
    <xf numFmtId="0" fontId="2" fillId="2" borderId="0" xfId="0" applyFont="1" applyFill="1" applyBorder="1"/>
    <xf numFmtId="0" fontId="2" fillId="2" borderId="14" xfId="0" applyFont="1" applyFill="1" applyBorder="1" applyAlignment="1">
      <alignment horizontal="center"/>
    </xf>
    <xf numFmtId="0" fontId="2" fillId="2" borderId="2" xfId="0" applyFont="1" applyFill="1" applyBorder="1"/>
    <xf numFmtId="0" fontId="8" fillId="2" borderId="8" xfId="0" applyFont="1" applyFill="1" applyBorder="1" applyAlignment="1">
      <alignment horizontal="centerContinuous"/>
    </xf>
    <xf numFmtId="0" fontId="8" fillId="2" borderId="9" xfId="0" applyFont="1" applyFill="1" applyBorder="1" applyAlignment="1">
      <alignment horizontal="centerContinuous"/>
    </xf>
    <xf numFmtId="0" fontId="8" fillId="2" borderId="10" xfId="0" applyFont="1" applyFill="1" applyBorder="1" applyAlignment="1">
      <alignment horizontal="centerContinuous"/>
    </xf>
    <xf numFmtId="0" fontId="2" fillId="2" borderId="13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"/>
    </xf>
    <xf numFmtId="0" fontId="2" fillId="2" borderId="13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Continuous"/>
    </xf>
    <xf numFmtId="16" fontId="0" fillId="0" borderId="1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2" fillId="2" borderId="15" xfId="0" applyFont="1" applyFill="1" applyBorder="1" applyAlignment="1">
      <alignment horizontal="centerContinuous"/>
    </xf>
    <xf numFmtId="2" fontId="6" fillId="2" borderId="12" xfId="0" applyNumberFormat="1" applyFont="1" applyFill="1" applyBorder="1" applyAlignment="1">
      <alignment horizontal="center"/>
    </xf>
    <xf numFmtId="2" fontId="6" fillId="0" borderId="12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Continuous"/>
    </xf>
    <xf numFmtId="0" fontId="2" fillId="2" borderId="12" xfId="0" applyFont="1" applyFill="1" applyBorder="1"/>
    <xf numFmtId="0" fontId="0" fillId="0" borderId="4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5" xfId="0" applyBorder="1"/>
    <xf numFmtId="1" fontId="6" fillId="0" borderId="1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1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6" fillId="0" borderId="0" xfId="0" applyFont="1"/>
    <xf numFmtId="0" fontId="2" fillId="0" borderId="0" xfId="0" applyFont="1" applyFill="1" applyBorder="1"/>
    <xf numFmtId="0" fontId="0" fillId="0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 sz="1800"/>
              <a:t>Investigación p=1</a:t>
            </a:r>
          </a:p>
        </c:rich>
      </c:tx>
      <c:layout>
        <c:manualLayout>
          <c:xMode val="edge"/>
          <c:yMode val="edge"/>
          <c:x val="0.31895122484689414"/>
          <c:y val="2.7777777777777776E-2"/>
        </c:manualLayout>
      </c:layout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AI!$I$6:$N$6</c:f>
              <c:strCache>
                <c:ptCount val="6"/>
                <c:pt idx="0">
                  <c:v>AI1</c:v>
                </c:pt>
                <c:pt idx="1">
                  <c:v>AI2</c:v>
                </c:pt>
                <c:pt idx="2">
                  <c:v>AI3</c:v>
                </c:pt>
                <c:pt idx="3">
                  <c:v>AI4</c:v>
                </c:pt>
                <c:pt idx="4">
                  <c:v>AI5</c:v>
                </c:pt>
                <c:pt idx="5">
                  <c:v>AI6</c:v>
                </c:pt>
              </c:strCache>
            </c:strRef>
          </c:cat>
          <c:val>
            <c:numRef>
              <c:f>AI!$I$7:$N$7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9-46CC-B4DD-A498639F9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3184"/>
        <c:axId val="106579072"/>
      </c:radarChart>
      <c:catAx>
        <c:axId val="10657318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106579072"/>
        <c:crosses val="autoZero"/>
        <c:auto val="1"/>
        <c:lblAlgn val="ctr"/>
        <c:lblOffset val="100"/>
        <c:noMultiLvlLbl val="0"/>
      </c:catAx>
      <c:valAx>
        <c:axId val="10657907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6573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Investigación p= 2</a:t>
            </a: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AI!$I$6:$N$6</c:f>
              <c:strCache>
                <c:ptCount val="6"/>
                <c:pt idx="0">
                  <c:v>AI1</c:v>
                </c:pt>
                <c:pt idx="1">
                  <c:v>AI2</c:v>
                </c:pt>
                <c:pt idx="2">
                  <c:v>AI3</c:v>
                </c:pt>
                <c:pt idx="3">
                  <c:v>AI4</c:v>
                </c:pt>
                <c:pt idx="4">
                  <c:v>AI5</c:v>
                </c:pt>
                <c:pt idx="5">
                  <c:v>AI6</c:v>
                </c:pt>
              </c:strCache>
            </c:strRef>
          </c:cat>
          <c:val>
            <c:numRef>
              <c:f>AI!$I$8:$N$8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8-4922-9AFE-29CBD5EA5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07360"/>
        <c:axId val="106608896"/>
      </c:radarChart>
      <c:catAx>
        <c:axId val="10660736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106608896"/>
        <c:crosses val="autoZero"/>
        <c:auto val="1"/>
        <c:lblAlgn val="ctr"/>
        <c:lblOffset val="100"/>
        <c:noMultiLvlLbl val="0"/>
      </c:catAx>
      <c:valAx>
        <c:axId val="106608896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6607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Investigación</a:t>
            </a:r>
            <a:r>
              <a:rPr lang="es-AR" baseline="0"/>
              <a:t> p=</a:t>
            </a:r>
            <a:r>
              <a:rPr lang="es-AR"/>
              <a:t> 3</a:t>
            </a:r>
          </a:p>
        </c:rich>
      </c:tx>
      <c:layout>
        <c:manualLayout>
          <c:xMode val="edge"/>
          <c:yMode val="edge"/>
          <c:x val="0.31607633420822395"/>
          <c:y val="1.3888888888888888E-2"/>
        </c:manualLayout>
      </c:layout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AI!$I$6:$N$6</c:f>
              <c:strCache>
                <c:ptCount val="6"/>
                <c:pt idx="0">
                  <c:v>AI1</c:v>
                </c:pt>
                <c:pt idx="1">
                  <c:v>AI2</c:v>
                </c:pt>
                <c:pt idx="2">
                  <c:v>AI3</c:v>
                </c:pt>
                <c:pt idx="3">
                  <c:v>AI4</c:v>
                </c:pt>
                <c:pt idx="4">
                  <c:v>AI5</c:v>
                </c:pt>
                <c:pt idx="5">
                  <c:v>AI6</c:v>
                </c:pt>
              </c:strCache>
            </c:strRef>
          </c:cat>
          <c:val>
            <c:numRef>
              <c:f>AI!$I$9:$N$9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A-47F7-9282-944861FFE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16704"/>
        <c:axId val="106618240"/>
      </c:radarChart>
      <c:catAx>
        <c:axId val="10661670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106618240"/>
        <c:crosses val="autoZero"/>
        <c:auto val="1"/>
        <c:lblAlgn val="ctr"/>
        <c:lblOffset val="100"/>
        <c:noMultiLvlLbl val="0"/>
      </c:catAx>
      <c:valAx>
        <c:axId val="106618240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6616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Investigación p= 4</a:t>
            </a: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AI!$I$6:$N$6</c:f>
              <c:strCache>
                <c:ptCount val="6"/>
                <c:pt idx="0">
                  <c:v>AI1</c:v>
                </c:pt>
                <c:pt idx="1">
                  <c:v>AI2</c:v>
                </c:pt>
                <c:pt idx="2">
                  <c:v>AI3</c:v>
                </c:pt>
                <c:pt idx="3">
                  <c:v>AI4</c:v>
                </c:pt>
                <c:pt idx="4">
                  <c:v>AI5</c:v>
                </c:pt>
                <c:pt idx="5">
                  <c:v>AI6</c:v>
                </c:pt>
              </c:strCache>
            </c:strRef>
          </c:cat>
          <c:val>
            <c:numRef>
              <c:f>AI!$I$10:$N$10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8-4832-BCBE-8FDF16937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31552"/>
        <c:axId val="107033344"/>
      </c:radarChart>
      <c:catAx>
        <c:axId val="107031552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107033344"/>
        <c:crosses val="autoZero"/>
        <c:auto val="1"/>
        <c:lblAlgn val="ctr"/>
        <c:lblOffset val="100"/>
        <c:noMultiLvlLbl val="0"/>
      </c:catAx>
      <c:valAx>
        <c:axId val="107033344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7031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Investigación</a:t>
            </a: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AI!$I$6:$N$6</c:f>
              <c:strCache>
                <c:ptCount val="6"/>
                <c:pt idx="0">
                  <c:v>AI1</c:v>
                </c:pt>
                <c:pt idx="1">
                  <c:v>AI2</c:v>
                </c:pt>
                <c:pt idx="2">
                  <c:v>AI3</c:v>
                </c:pt>
                <c:pt idx="3">
                  <c:v>AI4</c:v>
                </c:pt>
                <c:pt idx="4">
                  <c:v>AI5</c:v>
                </c:pt>
                <c:pt idx="5">
                  <c:v>AI6</c:v>
                </c:pt>
              </c:strCache>
            </c:strRef>
          </c:cat>
          <c:val>
            <c:numRef>
              <c:f>AI!$I$11:$N$11</c:f>
              <c:numCache>
                <c:formatCode>0.0</c:formatCode>
                <c:ptCount val="6"/>
                <c:pt idx="0">
                  <c:v>0.75</c:v>
                </c:pt>
                <c:pt idx="1">
                  <c:v>2.25</c:v>
                </c:pt>
                <c:pt idx="2">
                  <c:v>2.5</c:v>
                </c:pt>
                <c:pt idx="3">
                  <c:v>1.5</c:v>
                </c:pt>
                <c:pt idx="4">
                  <c:v>2.25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3-41FD-B6CD-00E58B683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49344"/>
        <c:axId val="107050880"/>
      </c:radarChart>
      <c:catAx>
        <c:axId val="10704934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107050880"/>
        <c:crosses val="autoZero"/>
        <c:auto val="1"/>
        <c:lblAlgn val="ctr"/>
        <c:lblOffset val="100"/>
        <c:noMultiLvlLbl val="0"/>
      </c:catAx>
      <c:valAx>
        <c:axId val="107050880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107049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13</xdr:row>
      <xdr:rowOff>23812</xdr:rowOff>
    </xdr:from>
    <xdr:to>
      <xdr:col>5</xdr:col>
      <xdr:colOff>295275</xdr:colOff>
      <xdr:row>27</xdr:row>
      <xdr:rowOff>100012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12</xdr:row>
      <xdr:rowOff>176212</xdr:rowOff>
    </xdr:from>
    <xdr:to>
      <xdr:col>12</xdr:col>
      <xdr:colOff>533400</xdr:colOff>
      <xdr:row>27</xdr:row>
      <xdr:rowOff>61912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781050</xdr:colOff>
      <xdr:row>13</xdr:row>
      <xdr:rowOff>4762</xdr:rowOff>
    </xdr:from>
    <xdr:to>
      <xdr:col>17</xdr:col>
      <xdr:colOff>342900</xdr:colOff>
      <xdr:row>27</xdr:row>
      <xdr:rowOff>80962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66675</xdr:colOff>
      <xdr:row>28</xdr:row>
      <xdr:rowOff>176212</xdr:rowOff>
    </xdr:from>
    <xdr:to>
      <xdr:col>5</xdr:col>
      <xdr:colOff>514350</xdr:colOff>
      <xdr:row>43</xdr:row>
      <xdr:rowOff>61912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57150</xdr:colOff>
      <xdr:row>29</xdr:row>
      <xdr:rowOff>33337</xdr:rowOff>
    </xdr:from>
    <xdr:to>
      <xdr:col>13</xdr:col>
      <xdr:colOff>0</xdr:colOff>
      <xdr:row>43</xdr:row>
      <xdr:rowOff>109537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0"/>
  <sheetViews>
    <sheetView tabSelected="1" topLeftCell="G1" workbookViewId="0">
      <selection activeCell="Q7" sqref="Q7"/>
    </sheetView>
  </sheetViews>
  <sheetFormatPr baseColWidth="10" defaultRowHeight="15" x14ac:dyDescent="0.2"/>
  <cols>
    <col min="1" max="1" width="3.33203125" customWidth="1"/>
    <col min="2" max="2" width="11" customWidth="1"/>
    <col min="4" max="4" width="12.88671875" customWidth="1"/>
    <col min="5" max="5" width="12.6640625" customWidth="1"/>
    <col min="6" max="7" width="10" customWidth="1"/>
    <col min="8" max="8" width="9.109375" customWidth="1"/>
    <col min="9" max="9" width="8.21875" customWidth="1"/>
    <col min="10" max="10" width="9.21875" customWidth="1"/>
    <col min="11" max="11" width="7.6640625" customWidth="1"/>
    <col min="12" max="12" width="8.21875" customWidth="1"/>
    <col min="15" max="15" width="12.21875" customWidth="1"/>
    <col min="16" max="16" width="12.33203125" customWidth="1"/>
    <col min="17" max="17" width="12.6640625" customWidth="1"/>
    <col min="18" max="18" width="16" customWidth="1"/>
    <col min="19" max="19" width="16.33203125" customWidth="1"/>
    <col min="20" max="21" width="16.6640625" customWidth="1"/>
    <col min="22" max="22" width="13.6640625" customWidth="1"/>
    <col min="23" max="23" width="13.109375" customWidth="1"/>
    <col min="24" max="24" width="18" customWidth="1"/>
  </cols>
  <sheetData>
    <row r="1" spans="2:24" x14ac:dyDescent="0.2">
      <c r="V1" s="30" t="s">
        <v>27</v>
      </c>
      <c r="W1" t="s">
        <v>30</v>
      </c>
    </row>
    <row r="2" spans="2:24" x14ac:dyDescent="0.2">
      <c r="B2" t="s">
        <v>26</v>
      </c>
      <c r="C2" t="s">
        <v>211</v>
      </c>
      <c r="V2" t="s">
        <v>28</v>
      </c>
    </row>
    <row r="3" spans="2:24" x14ac:dyDescent="0.2">
      <c r="B3" s="25" t="s">
        <v>3</v>
      </c>
      <c r="C3" s="1" t="s">
        <v>0</v>
      </c>
      <c r="D3" s="1" t="s">
        <v>1</v>
      </c>
      <c r="E3" s="2" t="s">
        <v>2</v>
      </c>
      <c r="F3" s="3"/>
      <c r="G3" s="106" t="s">
        <v>289</v>
      </c>
      <c r="H3" s="107"/>
      <c r="I3" s="2" t="s">
        <v>254</v>
      </c>
      <c r="J3" s="4"/>
      <c r="K3" s="4"/>
      <c r="L3" s="4"/>
      <c r="M3" s="4"/>
      <c r="N3" s="4"/>
      <c r="O3" s="4"/>
      <c r="P3" s="4" t="s">
        <v>127</v>
      </c>
      <c r="Q3" s="5" t="s">
        <v>127</v>
      </c>
      <c r="R3" s="5" t="s">
        <v>4</v>
      </c>
      <c r="S3" s="1" t="s">
        <v>287</v>
      </c>
      <c r="T3" s="1" t="s">
        <v>287</v>
      </c>
      <c r="U3" s="97"/>
      <c r="V3" s="25" t="s">
        <v>0</v>
      </c>
      <c r="W3" s="1" t="s">
        <v>1</v>
      </c>
      <c r="X3" s="26" t="s">
        <v>19</v>
      </c>
    </row>
    <row r="4" spans="2:24" x14ac:dyDescent="0.2">
      <c r="B4" s="27"/>
      <c r="C4" s="7"/>
      <c r="D4" s="7"/>
      <c r="E4" s="1" t="s">
        <v>5</v>
      </c>
      <c r="F4" s="6" t="s">
        <v>6</v>
      </c>
      <c r="G4" s="8" t="s">
        <v>290</v>
      </c>
      <c r="H4" s="27" t="s">
        <v>291</v>
      </c>
      <c r="I4" s="9"/>
      <c r="J4" s="10"/>
      <c r="K4" s="10"/>
      <c r="L4" s="10"/>
      <c r="M4" s="10"/>
      <c r="N4" s="10"/>
      <c r="O4" s="10"/>
      <c r="P4" s="78"/>
      <c r="Q4" s="11" t="s">
        <v>218</v>
      </c>
      <c r="R4" s="11" t="s">
        <v>7</v>
      </c>
      <c r="S4" s="7" t="s">
        <v>286</v>
      </c>
      <c r="T4" s="7" t="s">
        <v>286</v>
      </c>
      <c r="U4" s="97"/>
      <c r="V4" s="27" t="s">
        <v>12</v>
      </c>
      <c r="W4" s="15" t="s">
        <v>13</v>
      </c>
      <c r="X4" s="28" t="s">
        <v>31</v>
      </c>
    </row>
    <row r="5" spans="2:24" x14ac:dyDescent="0.2">
      <c r="B5" s="27" t="s">
        <v>295</v>
      </c>
      <c r="C5" s="7"/>
      <c r="D5" s="7"/>
      <c r="E5" s="7" t="s">
        <v>9</v>
      </c>
      <c r="F5" s="8" t="s">
        <v>9</v>
      </c>
      <c r="G5" s="7" t="s">
        <v>10</v>
      </c>
      <c r="H5" s="27" t="s">
        <v>292</v>
      </c>
      <c r="I5" s="12" t="s">
        <v>11</v>
      </c>
      <c r="J5" s="13"/>
      <c r="K5" s="13"/>
      <c r="L5" s="13"/>
      <c r="M5" s="13"/>
      <c r="N5" s="13"/>
      <c r="O5" s="5" t="s">
        <v>253</v>
      </c>
      <c r="P5" s="5" t="s">
        <v>253</v>
      </c>
      <c r="Q5" s="11" t="s">
        <v>127</v>
      </c>
      <c r="R5" s="11" t="s">
        <v>32</v>
      </c>
      <c r="S5" s="7" t="s">
        <v>8</v>
      </c>
      <c r="T5" s="7" t="s">
        <v>288</v>
      </c>
      <c r="U5" s="97"/>
      <c r="V5" s="16" t="s">
        <v>16</v>
      </c>
      <c r="W5" s="16" t="s">
        <v>18</v>
      </c>
      <c r="X5" s="29">
        <f>Puntaje!S4</f>
        <v>88</v>
      </c>
    </row>
    <row r="6" spans="2:24" ht="23.25" x14ac:dyDescent="0.4">
      <c r="B6" s="27" t="s">
        <v>296</v>
      </c>
      <c r="C6" s="15" t="s">
        <v>12</v>
      </c>
      <c r="D6" s="15" t="s">
        <v>13</v>
      </c>
      <c r="E6" s="15" t="s">
        <v>14</v>
      </c>
      <c r="F6" s="15" t="s">
        <v>15</v>
      </c>
      <c r="G6" s="15" t="s">
        <v>293</v>
      </c>
      <c r="H6" s="15" t="s">
        <v>294</v>
      </c>
      <c r="I6" s="15" t="s">
        <v>29</v>
      </c>
      <c r="J6" s="15" t="s">
        <v>212</v>
      </c>
      <c r="K6" s="15" t="s">
        <v>213</v>
      </c>
      <c r="L6" s="15" t="s">
        <v>214</v>
      </c>
      <c r="M6" s="15" t="s">
        <v>215</v>
      </c>
      <c r="N6" s="15" t="s">
        <v>216</v>
      </c>
      <c r="O6" s="15" t="s">
        <v>251</v>
      </c>
      <c r="P6" s="15" t="s">
        <v>252</v>
      </c>
      <c r="Q6" s="15" t="s">
        <v>357</v>
      </c>
      <c r="R6" s="15" t="s">
        <v>285</v>
      </c>
      <c r="S6" s="15" t="s">
        <v>355</v>
      </c>
      <c r="T6" s="7" t="s">
        <v>356</v>
      </c>
      <c r="U6" s="97"/>
      <c r="V6" s="18" t="s">
        <v>20</v>
      </c>
      <c r="W6" s="18" t="s">
        <v>18</v>
      </c>
      <c r="X6" s="18">
        <f>Puntaje!S5</f>
        <v>88</v>
      </c>
    </row>
    <row r="7" spans="2:24" x14ac:dyDescent="0.2">
      <c r="B7" s="16">
        <v>1</v>
      </c>
      <c r="C7" s="16" t="s">
        <v>21</v>
      </c>
      <c r="D7" s="16" t="s">
        <v>17</v>
      </c>
      <c r="E7" s="16">
        <v>5</v>
      </c>
      <c r="F7" s="16">
        <v>1</v>
      </c>
      <c r="G7" s="19">
        <f t="shared" ref="G7:G10" si="0">1-(E7+F7)/12</f>
        <v>0.5</v>
      </c>
      <c r="H7" s="19">
        <f>B7/G7</f>
        <v>2</v>
      </c>
      <c r="I7" s="16">
        <f>'AI1'!D11</f>
        <v>1</v>
      </c>
      <c r="J7" s="16">
        <f>'AI2'!O23</f>
        <v>3</v>
      </c>
      <c r="K7" s="16">
        <f>'AI3'!G10</f>
        <v>3</v>
      </c>
      <c r="L7" s="16">
        <f>'AI4'!AB13</f>
        <v>3</v>
      </c>
      <c r="M7" s="16">
        <f>'AI5'!V11</f>
        <v>3</v>
      </c>
      <c r="N7" s="16">
        <f>'AI6'!Q13</f>
        <v>3</v>
      </c>
      <c r="O7" s="16">
        <f>SUM(I7:N7)</f>
        <v>16</v>
      </c>
      <c r="P7" s="17">
        <f>O7/6</f>
        <v>2.6666666666666665</v>
      </c>
      <c r="Q7" s="17">
        <f>Puntaje!I4</f>
        <v>644.25</v>
      </c>
      <c r="R7" s="16">
        <f>IF(AND(C7="T",D7="EX"),$X$5,IF(AND(C7="AS",D7="EX"),$X$6,IF(AND(C7="AJ",D7="EX"),$X$7,IF(AND(C7="JTP",D7="EX"),$X$8,IF(AND(C7="AY1",D7="EX"),$X9,IF(AND(C7="T",D7="SE"),$X$10,IF(AND(C7="AS",D7="SE"),$X$11,IF(AND(C7="AJ",D7="SE"),$X$12,IF(AND(C7="JTP",D7="SE"),$X$13,IF(AND(C7="AY1",D7="SE"),$X$14,IF(AND(C7="T",D7="DS"),$X$15,IF(AND(C7="AS",D7="DS"),X$16,IF(AND(C7="AJ",D7="DS"),$X$17,IF(AND(C7="JTP",D7="DS"),$X$18,IF(AND(C7="AY1",D7="DS"),$X$19,IF(AND(C7="AY2",D7="DS"),$X$20,0))))))))))))))))</f>
        <v>48</v>
      </c>
      <c r="S7" s="17">
        <f>Q7/R7/G7</f>
        <v>26.84375</v>
      </c>
      <c r="T7" s="17">
        <f>Q7/R7*H7</f>
        <v>26.84375</v>
      </c>
      <c r="U7" s="98"/>
      <c r="V7" s="18" t="s">
        <v>21</v>
      </c>
      <c r="W7" s="18" t="s">
        <v>18</v>
      </c>
      <c r="X7" s="18">
        <f>Puntaje!S6</f>
        <v>48</v>
      </c>
    </row>
    <row r="8" spans="2:24" x14ac:dyDescent="0.2">
      <c r="B8" s="18">
        <v>2</v>
      </c>
      <c r="C8" s="18" t="s">
        <v>16</v>
      </c>
      <c r="D8" s="18" t="s">
        <v>17</v>
      </c>
      <c r="E8" s="18">
        <v>3</v>
      </c>
      <c r="F8" s="18">
        <v>0</v>
      </c>
      <c r="G8" s="19">
        <f t="shared" si="0"/>
        <v>0.75</v>
      </c>
      <c r="H8" s="19">
        <f>B8/SUM(G7:G8)</f>
        <v>1.6</v>
      </c>
      <c r="I8" s="18">
        <f>'AI1'!D22</f>
        <v>0</v>
      </c>
      <c r="J8" s="18">
        <f>'AI2'!O23</f>
        <v>3</v>
      </c>
      <c r="K8" s="18">
        <f>'AI3'!G19</f>
        <v>1</v>
      </c>
      <c r="L8" s="18">
        <f>'AI4'!AB25</f>
        <v>0</v>
      </c>
      <c r="M8" s="18">
        <f>'AI5'!V22</f>
        <v>3</v>
      </c>
      <c r="N8" s="18">
        <f>'AI6'!Q26</f>
        <v>3</v>
      </c>
      <c r="O8" s="18">
        <f>SUM(I8:N8)</f>
        <v>10</v>
      </c>
      <c r="P8" s="19">
        <f t="shared" ref="P8:P10" si="1">O8/6</f>
        <v>1.6666666666666667</v>
      </c>
      <c r="Q8" s="19">
        <f>Puntaje!I5</f>
        <v>297.14999999999998</v>
      </c>
      <c r="R8" s="18">
        <f>IF(AND(C8="T",D8="EX"),$X$5,IF(AND(C8="AS",D8="EX"),$X$6,IF(AND(C8="AJ",D8="EX"),$X$7,IF(AND(C8="JTP",D8="EX"),$X$8,IF(AND(C8="AY1",D8="EX"),$X10,IF(AND(C8="T",D8="SE"),$X$10,IF(AND(C8="AS",D8="SE"),$X$11,IF(AND(C8="AJ",D8="SE"),$X$12,IF(AND(C8="JTP",D8="SE"),$X$13,IF(AND(C8="AY1",D8="SE"),$X$14,IF(AND(C8="T",D8="DS"),$X$15,IF(AND(C8="AS",D8="DS"),X$16,IF(AND(C8="AJ",D8="DS"),$X$17,IF(AND(C8="JTP",D8="DS"),$X$18,IF(AND(C8="AY1",D8="DS"),$X$19,IF(AND(C8="AY2",D8="DS"),$X$20,0))))))))))))))))</f>
        <v>88</v>
      </c>
      <c r="S8" s="19">
        <f t="shared" ref="S8:S10" si="2">Q8/R8/G8</f>
        <v>4.502272727272727</v>
      </c>
      <c r="T8" s="19">
        <f>SUM(Q7:Q8)/SUM(R7:R8)*H8</f>
        <v>11.07529411764706</v>
      </c>
      <c r="U8" s="98"/>
      <c r="V8" s="18" t="s">
        <v>22</v>
      </c>
      <c r="W8" s="18" t="s">
        <v>18</v>
      </c>
      <c r="X8" s="18">
        <f>Puntaje!S7</f>
        <v>37</v>
      </c>
    </row>
    <row r="9" spans="2:24" x14ac:dyDescent="0.2">
      <c r="B9" s="18">
        <v>3</v>
      </c>
      <c r="C9" s="18" t="s">
        <v>16</v>
      </c>
      <c r="D9" s="18" t="s">
        <v>18</v>
      </c>
      <c r="E9" s="18">
        <v>0</v>
      </c>
      <c r="F9" s="18">
        <v>0</v>
      </c>
      <c r="G9" s="19">
        <f t="shared" si="0"/>
        <v>1</v>
      </c>
      <c r="H9" s="19">
        <f>B9/SUM(G7:G9)</f>
        <v>1.3333333333333333</v>
      </c>
      <c r="I9" s="18">
        <f>'AI1'!D33</f>
        <v>1</v>
      </c>
      <c r="J9" s="18">
        <f>'AI2'!O34</f>
        <v>0</v>
      </c>
      <c r="K9" s="18">
        <f>'AI3'!G28</f>
        <v>3</v>
      </c>
      <c r="L9" s="18">
        <f>'AI4'!AB38</f>
        <v>0</v>
      </c>
      <c r="M9" s="18">
        <f>'AI5'!V34</f>
        <v>3</v>
      </c>
      <c r="N9" s="18">
        <f>'AI6'!Q40</f>
        <v>3</v>
      </c>
      <c r="O9" s="18">
        <f>SUM(I9:N9)</f>
        <v>10</v>
      </c>
      <c r="P9" s="19">
        <f t="shared" si="1"/>
        <v>1.6666666666666667</v>
      </c>
      <c r="Q9" s="19">
        <f>Puntaje!I6</f>
        <v>208.1</v>
      </c>
      <c r="R9" s="18">
        <f>IF(AND(C9="T",D9="EX"),$X$5,IF(AND(C9="AS",D9="EX"),$X$6,IF(AND(C9="AJ",D9="EX"),$X$7,IF(AND(C9="JTP",D9="EX"),$X$8,IF(AND(C9="AY1",D9="EX"),$X11,IF(AND(C9="T",D9="SE"),$X$10,IF(AND(C9="AS",D9="SE"),$X$11,IF(AND(C9="AJ",D9="SE"),$X$12,IF(AND(C9="JTP",D9="SE"),$X$13,IF(AND(C9="AY1",D9="SE"),$X$14,IF(AND(C9="T",D9="DS"),$X$15,IF(AND(C9="AS",D9="DS"),X$16,IF(AND(C9="AJ",D9="DS"),$X$17,IF(AND(C9="JTP",D9="DS"),$X$18,IF(AND(C9="AY1",D9="DS"),$X$19,IF(AND(C9="AY2",D9="DS"),$X$20,0))))))))))))))))</f>
        <v>88</v>
      </c>
      <c r="S9" s="19">
        <f t="shared" si="2"/>
        <v>2.3647727272727272</v>
      </c>
      <c r="T9" s="19">
        <f>SUM(Q7:Q9)/SUM(R7:R9)*H9</f>
        <v>6.8422619047619051</v>
      </c>
      <c r="U9" s="98"/>
      <c r="V9" s="18" t="s">
        <v>23</v>
      </c>
      <c r="W9" s="18" t="s">
        <v>18</v>
      </c>
      <c r="X9" s="18">
        <f>Puntaje!S8</f>
        <v>5</v>
      </c>
    </row>
    <row r="10" spans="2:24" ht="15.75" x14ac:dyDescent="0.25">
      <c r="B10" s="20">
        <v>4</v>
      </c>
      <c r="C10" s="20" t="s">
        <v>16</v>
      </c>
      <c r="D10" s="20" t="s">
        <v>18</v>
      </c>
      <c r="E10" s="20">
        <v>0</v>
      </c>
      <c r="F10" s="20">
        <v>0</v>
      </c>
      <c r="G10" s="21">
        <f t="shared" si="0"/>
        <v>1</v>
      </c>
      <c r="H10" s="19">
        <f>B10/SUM(G7:G10)</f>
        <v>1.2307692307692308</v>
      </c>
      <c r="I10" s="20">
        <f>'AI1'!D44</f>
        <v>1</v>
      </c>
      <c r="J10" s="20">
        <f>'AI2'!O45</f>
        <v>3</v>
      </c>
      <c r="K10" s="20">
        <f>'AI3'!G37</f>
        <v>3</v>
      </c>
      <c r="L10" s="20">
        <f>'AI4'!AB52</f>
        <v>3</v>
      </c>
      <c r="M10" s="20">
        <f>'AI5'!V45</f>
        <v>0</v>
      </c>
      <c r="N10" s="20">
        <f>'AI6'!Q54</f>
        <v>3</v>
      </c>
      <c r="O10" s="20">
        <f>SUM(I10:N10)</f>
        <v>13</v>
      </c>
      <c r="P10" s="21">
        <f t="shared" si="1"/>
        <v>2.1666666666666665</v>
      </c>
      <c r="Q10" s="21">
        <f>Puntaje!I7</f>
        <v>250.25</v>
      </c>
      <c r="R10" s="20">
        <f>IF(AND(C10="T",D10="EX"),$X$5,IF(AND(C10="AS",D10="EX"),$X$6,IF(AND(C10="AJ",D10="EX"),$X$7,IF(AND(C10="JTP",D10="EX"),$X$8,IF(AND(C10="AY1",D10="EX"),$X12,IF(AND(C10="T",D10="SE"),$X$10,IF(AND(C10="AS",D10="SE"),$X$11,IF(AND(C10="AJ",D10="SE"),$X$12,IF(AND(C10="JTP",D10="SE"),$X$13,IF(AND(C10="AY1",D10="SE"),$X$14,IF(AND(C10="T",D10="DS"),$X$15,IF(AND(C10="AS",D10="DS"),X$16,IF(AND(C10="AJ",D10="DS"),$X$17,IF(AND(C10="JTP",D10="DS"),$X$18,IF(AND(C10="AY1",D10="DS"),$X$19,IF(AND(C10="AY2",D10="DS"),$X$20,0))))))))))))))))</f>
        <v>88</v>
      </c>
      <c r="S10" s="21">
        <f t="shared" si="2"/>
        <v>2.84375</v>
      </c>
      <c r="T10" s="79">
        <f>SUM(Q7:Q10)/SUM(R7:R10)*H10</f>
        <v>5.5216962524654836</v>
      </c>
      <c r="U10" s="99"/>
      <c r="V10" s="18" t="s">
        <v>16</v>
      </c>
      <c r="W10" s="18" t="s">
        <v>17</v>
      </c>
      <c r="X10" s="18">
        <f>Puntaje!S9</f>
        <v>88</v>
      </c>
    </row>
    <row r="11" spans="2:24" ht="15.75" x14ac:dyDescent="0.25">
      <c r="G11" s="22">
        <f t="shared" ref="G11" si="3">SUM(G7:G10)</f>
        <v>3.25</v>
      </c>
      <c r="H11" s="16"/>
      <c r="I11" s="23">
        <f>SUM(I7:I10)/4</f>
        <v>0.75</v>
      </c>
      <c r="J11" s="23">
        <f t="shared" ref="J11:N11" si="4">SUM(J7:J10)/4</f>
        <v>2.25</v>
      </c>
      <c r="K11" s="23">
        <f t="shared" si="4"/>
        <v>2.5</v>
      </c>
      <c r="L11" s="23">
        <f t="shared" si="4"/>
        <v>1.5</v>
      </c>
      <c r="M11" s="23">
        <f t="shared" si="4"/>
        <v>2.25</v>
      </c>
      <c r="N11" s="23">
        <f t="shared" si="4"/>
        <v>3</v>
      </c>
      <c r="O11" s="22">
        <f>SUM(O7:O10)</f>
        <v>49</v>
      </c>
      <c r="P11" s="79">
        <f>AVERAGE(I11:N11)</f>
        <v>2.0416666666666665</v>
      </c>
      <c r="Q11" s="80">
        <f>SUM(Q7:Q10)</f>
        <v>1399.75</v>
      </c>
      <c r="R11" s="96">
        <f>SUM(R7:R10)</f>
        <v>312</v>
      </c>
      <c r="S11" s="81">
        <f>Q11/R11*H10</f>
        <v>5.5216962524654836</v>
      </c>
      <c r="T11" s="47"/>
      <c r="U11" s="100"/>
      <c r="V11" s="18" t="s">
        <v>20</v>
      </c>
      <c r="W11" s="18" t="s">
        <v>17</v>
      </c>
      <c r="X11" s="18">
        <f>Puntaje!S10</f>
        <v>88</v>
      </c>
    </row>
    <row r="12" spans="2:24" x14ac:dyDescent="0.2">
      <c r="V12" s="18" t="s">
        <v>21</v>
      </c>
      <c r="W12" s="18" t="s">
        <v>17</v>
      </c>
      <c r="X12" s="18">
        <f>Puntaje!S11</f>
        <v>48</v>
      </c>
    </row>
    <row r="13" spans="2:24" x14ac:dyDescent="0.2">
      <c r="V13" s="18" t="s">
        <v>22</v>
      </c>
      <c r="W13" s="18" t="s">
        <v>17</v>
      </c>
      <c r="X13" s="18">
        <f>Puntaje!S12</f>
        <v>37</v>
      </c>
    </row>
    <row r="14" spans="2:24" x14ac:dyDescent="0.2">
      <c r="V14" s="18" t="s">
        <v>23</v>
      </c>
      <c r="W14" s="18" t="s">
        <v>17</v>
      </c>
      <c r="X14" s="18">
        <f>Puntaje!S13</f>
        <v>5</v>
      </c>
    </row>
    <row r="15" spans="2:24" x14ac:dyDescent="0.2">
      <c r="V15" s="18" t="s">
        <v>16</v>
      </c>
      <c r="W15" s="18" t="s">
        <v>24</v>
      </c>
      <c r="X15" s="18">
        <f>Puntaje!S14</f>
        <v>88</v>
      </c>
    </row>
    <row r="16" spans="2:24" x14ac:dyDescent="0.2">
      <c r="V16" s="18" t="s">
        <v>20</v>
      </c>
      <c r="W16" s="18" t="s">
        <v>24</v>
      </c>
      <c r="X16" s="18">
        <f>Puntaje!S15</f>
        <v>88</v>
      </c>
    </row>
    <row r="17" spans="22:24" x14ac:dyDescent="0.2">
      <c r="V17" s="18" t="s">
        <v>21</v>
      </c>
      <c r="W17" s="18" t="s">
        <v>24</v>
      </c>
      <c r="X17" s="18">
        <f>Puntaje!S16</f>
        <v>48</v>
      </c>
    </row>
    <row r="18" spans="22:24" x14ac:dyDescent="0.2">
      <c r="V18" s="18" t="s">
        <v>22</v>
      </c>
      <c r="W18" s="18" t="s">
        <v>24</v>
      </c>
      <c r="X18" s="18">
        <f>Puntaje!S17</f>
        <v>37</v>
      </c>
    </row>
    <row r="19" spans="22:24" x14ac:dyDescent="0.2">
      <c r="V19" s="18" t="s">
        <v>23</v>
      </c>
      <c r="W19" s="18" t="s">
        <v>24</v>
      </c>
      <c r="X19" s="18">
        <f>Puntaje!S18</f>
        <v>5</v>
      </c>
    </row>
    <row r="20" spans="22:24" x14ac:dyDescent="0.2">
      <c r="V20" s="20" t="s">
        <v>25</v>
      </c>
      <c r="W20" s="20" t="s">
        <v>24</v>
      </c>
      <c r="X20" s="20">
        <f>Puntaje!S19</f>
        <v>0</v>
      </c>
    </row>
  </sheetData>
  <mergeCells count="1">
    <mergeCell ref="G3:H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4"/>
  <sheetViews>
    <sheetView workbookViewId="0">
      <selection activeCell="D11" sqref="D11"/>
    </sheetView>
  </sheetViews>
  <sheetFormatPr baseColWidth="10" defaultRowHeight="15" x14ac:dyDescent="0.2"/>
  <cols>
    <col min="1" max="1" width="3.6640625" customWidth="1"/>
    <col min="5" max="5" width="3.21875" customWidth="1"/>
    <col min="6" max="6" width="21.88671875" customWidth="1"/>
    <col min="7" max="7" width="31.77734375" customWidth="1"/>
    <col min="8" max="8" width="4.33203125" customWidth="1"/>
    <col min="9" max="9" width="23.33203125" customWidth="1"/>
    <col min="10" max="10" width="32.44140625" customWidth="1"/>
  </cols>
  <sheetData>
    <row r="2" spans="2:10" ht="19.5" x14ac:dyDescent="0.35">
      <c r="B2" s="30" t="s">
        <v>42</v>
      </c>
      <c r="F2" t="s">
        <v>260</v>
      </c>
      <c r="I2" t="s">
        <v>261</v>
      </c>
    </row>
    <row r="3" spans="2:10" x14ac:dyDescent="0.2">
      <c r="B3" s="1" t="s">
        <v>0</v>
      </c>
      <c r="C3" s="1" t="s">
        <v>40</v>
      </c>
      <c r="D3" s="1" t="s">
        <v>41</v>
      </c>
      <c r="F3" s="1" t="s">
        <v>39</v>
      </c>
      <c r="G3" s="1" t="s">
        <v>38</v>
      </c>
      <c r="I3" s="1" t="s">
        <v>0</v>
      </c>
      <c r="J3" s="1" t="s">
        <v>46</v>
      </c>
    </row>
    <row r="4" spans="2:10" ht="18" x14ac:dyDescent="0.25">
      <c r="B4" s="16" t="s">
        <v>33</v>
      </c>
      <c r="C4" s="16">
        <v>0</v>
      </c>
      <c r="D4" s="16">
        <f>IF(C4=1,G4,0)</f>
        <v>0</v>
      </c>
      <c r="F4" s="16" t="s">
        <v>33</v>
      </c>
      <c r="G4" s="31">
        <v>10</v>
      </c>
      <c r="I4" s="16" t="s">
        <v>16</v>
      </c>
      <c r="J4" s="16">
        <v>3</v>
      </c>
    </row>
    <row r="5" spans="2:10" ht="18" x14ac:dyDescent="0.25">
      <c r="B5" s="18" t="s">
        <v>34</v>
      </c>
      <c r="C5" s="18">
        <v>0</v>
      </c>
      <c r="D5" s="18">
        <f t="shared" ref="D5:D8" si="0">IF(C5=1,G5,0)</f>
        <v>0</v>
      </c>
      <c r="F5" s="18" t="s">
        <v>34</v>
      </c>
      <c r="G5" s="32">
        <v>5</v>
      </c>
      <c r="I5" s="18" t="s">
        <v>20</v>
      </c>
      <c r="J5" s="18">
        <v>3</v>
      </c>
    </row>
    <row r="6" spans="2:10" ht="18" x14ac:dyDescent="0.25">
      <c r="B6" s="18" t="s">
        <v>35</v>
      </c>
      <c r="C6" s="18">
        <v>0</v>
      </c>
      <c r="D6" s="18">
        <f t="shared" si="0"/>
        <v>0</v>
      </c>
      <c r="F6" s="18" t="s">
        <v>35</v>
      </c>
      <c r="G6" s="32">
        <v>3</v>
      </c>
      <c r="I6" s="18" t="s">
        <v>21</v>
      </c>
      <c r="J6" s="18">
        <v>2</v>
      </c>
    </row>
    <row r="7" spans="2:10" ht="18" x14ac:dyDescent="0.25">
      <c r="B7" s="18" t="s">
        <v>36</v>
      </c>
      <c r="C7" s="18">
        <v>1</v>
      </c>
      <c r="D7" s="18">
        <f t="shared" si="0"/>
        <v>2</v>
      </c>
      <c r="F7" s="18" t="s">
        <v>36</v>
      </c>
      <c r="G7" s="32">
        <v>2</v>
      </c>
      <c r="I7" s="18" t="s">
        <v>22</v>
      </c>
      <c r="J7" s="18">
        <v>1</v>
      </c>
    </row>
    <row r="8" spans="2:10" ht="18" x14ac:dyDescent="0.25">
      <c r="B8" s="18" t="s">
        <v>37</v>
      </c>
      <c r="C8" s="18">
        <v>0</v>
      </c>
      <c r="D8" s="18">
        <f t="shared" si="0"/>
        <v>0</v>
      </c>
      <c r="F8" s="18" t="s">
        <v>37</v>
      </c>
      <c r="G8" s="32">
        <v>1</v>
      </c>
      <c r="I8" s="18" t="s">
        <v>23</v>
      </c>
      <c r="J8" s="18">
        <v>0</v>
      </c>
    </row>
    <row r="9" spans="2:10" ht="18" x14ac:dyDescent="0.25">
      <c r="B9" s="24"/>
      <c r="C9" s="24"/>
      <c r="D9" s="24"/>
      <c r="F9" s="24"/>
      <c r="G9" s="35"/>
      <c r="I9" s="20" t="s">
        <v>25</v>
      </c>
      <c r="J9" s="20">
        <v>0</v>
      </c>
    </row>
    <row r="10" spans="2:10" ht="18.75" x14ac:dyDescent="0.3">
      <c r="C10" s="37" t="s">
        <v>224</v>
      </c>
      <c r="D10" s="34">
        <f>SUM(D4:D8)</f>
        <v>2</v>
      </c>
      <c r="F10" s="33"/>
      <c r="G10" s="36"/>
    </row>
    <row r="11" spans="2:10" ht="18.75" x14ac:dyDescent="0.3">
      <c r="C11" s="37" t="s">
        <v>94</v>
      </c>
      <c r="D11" s="22">
        <f>IF(AND(AI!$C$7="T",D10&lt;$J$4),0,IF(AND(AI!$C$7="T",D10&gt;$J$4),3,IF(AND(AI!$C$7="AS",D10&lt;$J$5),0,IF(AND(AI!$C$7="AS",D10&gt;$J$5),3,IF(AND(AI!$C$7="AJ",D10&lt;$J$6),0,IF(AND(AI!$C$7="AJ",D10&gt;$J$6),3,IF(AND(AI!$C$7="JTP",D10&lt;$J$7),0,IF(AND(AI!$C$7="JTP",D10&gt;$J$7),3,IF(AND(AI!$C$7="AY1",D10&lt;$J$8),0,IF(AND(AI!$C$7="AY1",D10&gt;$J$8),3,IF(AND(AI!$C$7="AY2",D10=0),0,IF(AND(AI!$C$7="AY2",D10&gt;1),3,1))))))))))))</f>
        <v>1</v>
      </c>
      <c r="F11" s="33"/>
      <c r="G11" s="36"/>
    </row>
    <row r="12" spans="2:10" ht="18.75" x14ac:dyDescent="0.3">
      <c r="F12" s="33"/>
      <c r="G12" s="36"/>
      <c r="I12" s="38" t="s">
        <v>262</v>
      </c>
    </row>
    <row r="13" spans="2:10" ht="18" x14ac:dyDescent="0.3">
      <c r="B13" s="30" t="s">
        <v>43</v>
      </c>
      <c r="F13" s="33"/>
      <c r="G13" s="33"/>
      <c r="I13" s="37" t="s">
        <v>51</v>
      </c>
      <c r="J13" s="37" t="s">
        <v>48</v>
      </c>
    </row>
    <row r="14" spans="2:10" x14ac:dyDescent="0.2">
      <c r="B14" s="1" t="s">
        <v>0</v>
      </c>
      <c r="C14" s="1" t="s">
        <v>40</v>
      </c>
      <c r="D14" s="1" t="s">
        <v>41</v>
      </c>
      <c r="I14" s="22" t="s">
        <v>47</v>
      </c>
      <c r="J14" s="22">
        <v>0</v>
      </c>
    </row>
    <row r="15" spans="2:10" x14ac:dyDescent="0.2">
      <c r="B15" s="16" t="s">
        <v>33</v>
      </c>
      <c r="C15" s="16">
        <v>0</v>
      </c>
      <c r="D15" s="16">
        <f>IF(C15=1,G4,0)</f>
        <v>0</v>
      </c>
      <c r="I15" s="22" t="s">
        <v>49</v>
      </c>
      <c r="J15" s="22">
        <v>1</v>
      </c>
    </row>
    <row r="16" spans="2:10" x14ac:dyDescent="0.2">
      <c r="B16" s="18" t="s">
        <v>34</v>
      </c>
      <c r="C16" s="18">
        <v>0</v>
      </c>
      <c r="D16" s="18">
        <f t="shared" ref="D16:D19" si="1">IF(C16=1,G5,0)</f>
        <v>0</v>
      </c>
      <c r="I16" s="22" t="s">
        <v>50</v>
      </c>
      <c r="J16" s="22">
        <v>3</v>
      </c>
    </row>
    <row r="17" spans="2:4" x14ac:dyDescent="0.2">
      <c r="B17" s="18" t="s">
        <v>35</v>
      </c>
      <c r="C17" s="18">
        <v>0</v>
      </c>
      <c r="D17" s="18">
        <f t="shared" si="1"/>
        <v>0</v>
      </c>
    </row>
    <row r="18" spans="2:4" x14ac:dyDescent="0.2">
      <c r="B18" s="18" t="s">
        <v>36</v>
      </c>
      <c r="C18" s="18">
        <v>1</v>
      </c>
      <c r="D18" s="18">
        <f t="shared" si="1"/>
        <v>2</v>
      </c>
    </row>
    <row r="19" spans="2:4" x14ac:dyDescent="0.2">
      <c r="B19" s="18" t="s">
        <v>37</v>
      </c>
      <c r="C19" s="18">
        <v>0</v>
      </c>
      <c r="D19" s="20">
        <f t="shared" si="1"/>
        <v>0</v>
      </c>
    </row>
    <row r="20" spans="2:4" x14ac:dyDescent="0.2">
      <c r="B20" s="24"/>
      <c r="C20" s="24"/>
      <c r="D20" s="24"/>
    </row>
    <row r="21" spans="2:4" ht="18" x14ac:dyDescent="0.3">
      <c r="C21" s="37" t="s">
        <v>225</v>
      </c>
      <c r="D21" s="34">
        <f>SUM(D15:D19)</f>
        <v>2</v>
      </c>
    </row>
    <row r="22" spans="2:4" ht="18" x14ac:dyDescent="0.3">
      <c r="C22" s="37" t="s">
        <v>95</v>
      </c>
      <c r="D22" s="22">
        <f>IF(AND(AI!C8="T",D21&lt;$J$4),0,IF(AND(AI!C8="T",D21&gt;$J$4),3,IF(AND(AI!C8="AS",D21&lt;$J$5),0,IF(AND(AI!C8="AS",D21&gt;$J$5),3,IF(AND(AI!C8="AJ",D21&lt;$J$6),0,IF(AND(AI!C8="AJ",D21&gt;$J$6),3,IF(AND(AI!C8="JTP",D21&lt;$J$7),0,IF(AND(AI!C8="JTP",D21&gt;$J$7),3,IF(AND(AI!C8="AY1",D21&lt;$J$8),0,IF(AND(AI!C8="AY1",D21&gt;$J$8),3,IF(AND(AI!C8="AY2",D21=0),0,IF(AND(AI!C8="AY2",D21&gt;1),3,1))))))))))))</f>
        <v>0</v>
      </c>
    </row>
    <row r="24" spans="2:4" ht="18" x14ac:dyDescent="0.3">
      <c r="B24" s="30" t="s">
        <v>44</v>
      </c>
    </row>
    <row r="25" spans="2:4" x14ac:dyDescent="0.2">
      <c r="B25" s="1" t="s">
        <v>0</v>
      </c>
      <c r="C25" s="1" t="s">
        <v>40</v>
      </c>
      <c r="D25" s="1" t="s">
        <v>41</v>
      </c>
    </row>
    <row r="26" spans="2:4" x14ac:dyDescent="0.2">
      <c r="B26" s="16" t="s">
        <v>33</v>
      </c>
      <c r="C26" s="16">
        <v>0</v>
      </c>
      <c r="D26" s="16">
        <f>IF(C26=1,G4,0)</f>
        <v>0</v>
      </c>
    </row>
    <row r="27" spans="2:4" x14ac:dyDescent="0.2">
      <c r="B27" s="18" t="s">
        <v>34</v>
      </c>
      <c r="C27" s="18">
        <v>0</v>
      </c>
      <c r="D27" s="18">
        <f t="shared" ref="D27:D30" si="2">IF(C27=1,G5,0)</f>
        <v>0</v>
      </c>
    </row>
    <row r="28" spans="2:4" x14ac:dyDescent="0.2">
      <c r="B28" s="18" t="s">
        <v>35</v>
      </c>
      <c r="C28" s="18">
        <v>1</v>
      </c>
      <c r="D28" s="18">
        <f t="shared" si="2"/>
        <v>3</v>
      </c>
    </row>
    <row r="29" spans="2:4" x14ac:dyDescent="0.2">
      <c r="B29" s="18" t="s">
        <v>36</v>
      </c>
      <c r="C29" s="18">
        <v>0</v>
      </c>
      <c r="D29" s="18">
        <f t="shared" si="2"/>
        <v>0</v>
      </c>
    </row>
    <row r="30" spans="2:4" x14ac:dyDescent="0.2">
      <c r="B30" s="18" t="s">
        <v>37</v>
      </c>
      <c r="C30" s="18">
        <v>0</v>
      </c>
      <c r="D30" s="20">
        <f t="shared" si="2"/>
        <v>0</v>
      </c>
    </row>
    <row r="31" spans="2:4" x14ac:dyDescent="0.2">
      <c r="B31" s="24"/>
      <c r="C31" s="24"/>
      <c r="D31" s="24"/>
    </row>
    <row r="32" spans="2:4" ht="18" x14ac:dyDescent="0.3">
      <c r="C32" s="37" t="s">
        <v>226</v>
      </c>
      <c r="D32" s="34">
        <f>SUM(D26:D30)</f>
        <v>3</v>
      </c>
    </row>
    <row r="33" spans="2:4" ht="18" x14ac:dyDescent="0.3">
      <c r="C33" s="37" t="s">
        <v>96</v>
      </c>
      <c r="D33" s="22">
        <f>IF(AND(AI!C9="T",D32&lt;$J$4),0,IF(AND(AI!C9="T",D32&gt;$J$4),3,IF(AND(AI!C9="AS",D32&lt;$J$5),0,IF(AND(AI!C9="AS",D32&gt;$J$5),3,IF(AND(AI!C9="AJ",D32&lt;$J$6),0,IF(AND(AI!C9="AJ",D32&gt;$J$6),3,IF(AND(AI!C9="JTP",D32&lt;$J$7),0,IF(AND(AI!C9="JTP",D32&gt;$J$7),3,IF(AND(AI!C9="AY1",D32&lt;$J$8),0,IF(AND(AI!C9="AY1",D32&gt;$J$8),3,IF(AND(AI!C9="AY2",D32=0),0,IF(AND(AI!C9="AY2",D32&gt;1),3,1))))))))))))</f>
        <v>1</v>
      </c>
    </row>
    <row r="35" spans="2:4" ht="18" x14ac:dyDescent="0.3">
      <c r="B35" s="30" t="s">
        <v>45</v>
      </c>
    </row>
    <row r="36" spans="2:4" x14ac:dyDescent="0.2">
      <c r="B36" s="1" t="s">
        <v>0</v>
      </c>
      <c r="C36" s="1" t="s">
        <v>40</v>
      </c>
      <c r="D36" s="1" t="s">
        <v>41</v>
      </c>
    </row>
    <row r="37" spans="2:4" x14ac:dyDescent="0.2">
      <c r="B37" s="16" t="s">
        <v>33</v>
      </c>
      <c r="C37" s="16">
        <v>0</v>
      </c>
      <c r="D37" s="16">
        <f>IF(C37=1,G4,0)</f>
        <v>0</v>
      </c>
    </row>
    <row r="38" spans="2:4" x14ac:dyDescent="0.2">
      <c r="B38" s="18" t="s">
        <v>34</v>
      </c>
      <c r="C38" s="18">
        <v>0</v>
      </c>
      <c r="D38" s="18">
        <f t="shared" ref="D38:D41" si="3">IF(C38=1,G5,0)</f>
        <v>0</v>
      </c>
    </row>
    <row r="39" spans="2:4" x14ac:dyDescent="0.2">
      <c r="B39" s="18" t="s">
        <v>35</v>
      </c>
      <c r="C39" s="18">
        <v>1</v>
      </c>
      <c r="D39" s="18">
        <f t="shared" si="3"/>
        <v>3</v>
      </c>
    </row>
    <row r="40" spans="2:4" x14ac:dyDescent="0.2">
      <c r="B40" s="18" t="s">
        <v>36</v>
      </c>
      <c r="C40" s="18">
        <v>0</v>
      </c>
      <c r="D40" s="18">
        <f t="shared" si="3"/>
        <v>0</v>
      </c>
    </row>
    <row r="41" spans="2:4" x14ac:dyDescent="0.2">
      <c r="B41" s="18" t="s">
        <v>37</v>
      </c>
      <c r="C41" s="18">
        <v>0</v>
      </c>
      <c r="D41" s="20">
        <f t="shared" si="3"/>
        <v>0</v>
      </c>
    </row>
    <row r="42" spans="2:4" x14ac:dyDescent="0.2">
      <c r="B42" s="24"/>
      <c r="C42" s="24"/>
      <c r="D42" s="24"/>
    </row>
    <row r="43" spans="2:4" ht="18" x14ac:dyDescent="0.3">
      <c r="C43" s="37" t="s">
        <v>227</v>
      </c>
      <c r="D43" s="34">
        <f>SUM(D37:D41)</f>
        <v>3</v>
      </c>
    </row>
    <row r="44" spans="2:4" ht="18" x14ac:dyDescent="0.3">
      <c r="C44" s="37" t="s">
        <v>97</v>
      </c>
      <c r="D44" s="22">
        <f>IF(AND(AI!C10="T",D43&lt;$J$4),0,IF(AND(AI!C10="T",D43&gt;$J$4),3,IF(AND(AI!C10="AS",D43&lt;$J$5),0,IF(AND(AI!C10="AS",D43&gt;$J$5),3,IF(AND(AI!C10="AJ",D43&lt;$J$6),0,IF(AND(AI!C10="AJ",D43&gt;$J$6),3,IF(AND(AI!C10="JTP",D43&lt;$J$7),0,IF(AND(AI!C10="JTP",D43&gt;$J$7),3,IF(AND(AI!C10="AY1",D43&lt;$J$8),0,IF(AND(AI!C10="AY1",D43&gt;$J$8),3,IF(AND(AI!C10="AY2",D43=0),0,IF(AND(AI!C10="AY2",D43&gt;1),3,1))))))))))))</f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5"/>
  <sheetViews>
    <sheetView workbookViewId="0">
      <selection activeCell="M28" sqref="M28"/>
    </sheetView>
  </sheetViews>
  <sheetFormatPr baseColWidth="10" defaultRowHeight="15" x14ac:dyDescent="0.2"/>
  <cols>
    <col min="1" max="1" width="1.88671875" customWidth="1"/>
    <col min="2" max="2" width="5.44140625" customWidth="1"/>
    <col min="3" max="3" width="12.5546875" customWidth="1"/>
    <col min="4" max="4" width="10.44140625" customWidth="1"/>
    <col min="5" max="5" width="7.109375" customWidth="1"/>
    <col min="6" max="6" width="13" customWidth="1"/>
    <col min="7" max="7" width="10.6640625" customWidth="1"/>
    <col min="8" max="8" width="9.21875" customWidth="1"/>
    <col min="9" max="9" width="7.33203125" customWidth="1"/>
    <col min="10" max="10" width="5.77734375" customWidth="1"/>
    <col min="11" max="11" width="9.44140625" customWidth="1"/>
    <col min="12" max="12" width="8.109375" customWidth="1"/>
    <col min="13" max="14" width="7.109375" customWidth="1"/>
    <col min="15" max="16" width="10.21875" customWidth="1"/>
    <col min="17" max="17" width="14.6640625" customWidth="1"/>
    <col min="18" max="18" width="37.6640625" customWidth="1"/>
    <col min="19" max="19" width="6" customWidth="1"/>
    <col min="20" max="20" width="11.88671875" customWidth="1"/>
    <col min="21" max="21" width="40.21875" customWidth="1"/>
    <col min="22" max="22" width="31.44140625" customWidth="1"/>
    <col min="23" max="23" width="7.77734375" customWidth="1"/>
    <col min="24" max="24" width="25.109375" customWidth="1"/>
    <col min="25" max="25" width="22.77734375" customWidth="1"/>
  </cols>
  <sheetData>
    <row r="2" spans="2:21" ht="18" x14ac:dyDescent="0.3">
      <c r="B2" s="30" t="s">
        <v>52</v>
      </c>
      <c r="C2" s="30"/>
    </row>
    <row r="3" spans="2:21" ht="18" x14ac:dyDescent="0.3">
      <c r="B3" s="25" t="s">
        <v>59</v>
      </c>
      <c r="C3" s="12" t="s">
        <v>57</v>
      </c>
      <c r="D3" s="40"/>
      <c r="E3" s="40"/>
      <c r="F3" s="40"/>
      <c r="G3" s="40"/>
      <c r="H3" s="40"/>
      <c r="I3" s="40"/>
      <c r="J3" s="41"/>
      <c r="K3" s="12" t="s">
        <v>58</v>
      </c>
      <c r="L3" s="40"/>
      <c r="M3" s="41"/>
      <c r="N3" s="40"/>
      <c r="O3" s="5" t="s">
        <v>271</v>
      </c>
      <c r="Q3" t="s">
        <v>263</v>
      </c>
      <c r="T3" t="s">
        <v>264</v>
      </c>
    </row>
    <row r="4" spans="2:21" ht="18.75" x14ac:dyDescent="0.35">
      <c r="B4" s="39"/>
      <c r="C4" s="43" t="s">
        <v>132</v>
      </c>
      <c r="D4" s="43" t="s">
        <v>54</v>
      </c>
      <c r="E4" s="43" t="s">
        <v>60</v>
      </c>
      <c r="F4" s="43" t="s">
        <v>65</v>
      </c>
      <c r="G4" s="43" t="s">
        <v>55</v>
      </c>
      <c r="H4" s="43" t="s">
        <v>3</v>
      </c>
      <c r="I4" s="43" t="s">
        <v>56</v>
      </c>
      <c r="J4" s="43" t="s">
        <v>272</v>
      </c>
      <c r="K4" s="43" t="s">
        <v>0</v>
      </c>
      <c r="L4" s="43" t="s">
        <v>62</v>
      </c>
      <c r="M4" s="43" t="s">
        <v>63</v>
      </c>
      <c r="N4" s="83" t="s">
        <v>270</v>
      </c>
      <c r="O4" s="44"/>
      <c r="Q4" s="37" t="s">
        <v>60</v>
      </c>
      <c r="R4" s="37" t="s">
        <v>66</v>
      </c>
      <c r="T4" s="37" t="s">
        <v>82</v>
      </c>
      <c r="U4" s="37" t="s">
        <v>66</v>
      </c>
    </row>
    <row r="5" spans="2:21" x14ac:dyDescent="0.2">
      <c r="B5" s="22">
        <v>1</v>
      </c>
      <c r="C5" s="42" t="s">
        <v>71</v>
      </c>
      <c r="D5" s="22" t="s">
        <v>69</v>
      </c>
      <c r="E5" s="22" t="s">
        <v>33</v>
      </c>
      <c r="F5" s="22">
        <f>IF(E5="I",$R$5,IF(E5="IV",$R$6,IF(E5="PICTO",$R$7,IF(E5="PICT",$R$8,0))))</f>
        <v>1</v>
      </c>
      <c r="G5" s="42" t="s">
        <v>69</v>
      </c>
      <c r="H5" s="42" t="s">
        <v>75</v>
      </c>
      <c r="I5" s="22" t="s">
        <v>76</v>
      </c>
      <c r="J5" s="22">
        <f>IF(G5="UNCUYO",$U$5,IF(G5="Nacional",$U$6,IF(G5="Internacional",$U$7,0)))</f>
        <v>1</v>
      </c>
      <c r="K5" s="22" t="s">
        <v>33</v>
      </c>
      <c r="L5" s="22">
        <v>4</v>
      </c>
      <c r="M5" s="22">
        <f>IF(K5="D",$R$13,IF(K5="Co",$R$14,IF(K5="I",$R$15,IF(K5="Cb",IF(K5="B",$R$17,0)*M5/40))))</f>
        <v>3</v>
      </c>
      <c r="N5" s="50">
        <f>L5/40</f>
        <v>0.1</v>
      </c>
      <c r="O5" s="23">
        <f>F5+J5+M5+N5</f>
        <v>5.0999999999999996</v>
      </c>
      <c r="Q5" s="22" t="s">
        <v>33</v>
      </c>
      <c r="R5" s="22">
        <v>1</v>
      </c>
      <c r="T5" s="22" t="s">
        <v>69</v>
      </c>
      <c r="U5" s="22">
        <v>1</v>
      </c>
    </row>
    <row r="6" spans="2:21" x14ac:dyDescent="0.2">
      <c r="B6" s="22">
        <v>1</v>
      </c>
      <c r="C6" s="42" t="s">
        <v>72</v>
      </c>
      <c r="D6" s="22" t="s">
        <v>69</v>
      </c>
      <c r="E6" s="22" t="s">
        <v>36</v>
      </c>
      <c r="F6" s="22">
        <f>IF(E6="I",$R$5,IF(E6="IV",$R$6,IF(E6="PICTO",$R$7,IF(E6="PICT",$R$8,0))))</f>
        <v>3</v>
      </c>
      <c r="G6" s="42" t="s">
        <v>69</v>
      </c>
      <c r="H6" s="42" t="s">
        <v>75</v>
      </c>
      <c r="I6" s="22" t="s">
        <v>77</v>
      </c>
      <c r="J6" s="22">
        <f>IF(G6="UNCUYO",$U$5,IF(G6="Nacional",$U$6,IF(G6="Internacional",$U$7,0)))</f>
        <v>1</v>
      </c>
      <c r="K6" s="22" t="s">
        <v>85</v>
      </c>
      <c r="L6" s="22">
        <v>2</v>
      </c>
      <c r="M6" s="22">
        <f>IF(K6="D",$R$13,IF(K6="Co",$R$14,IF(K6="I",$R$15,IF(K6="Cb",IF(K6="B",$R$17,0)*M6/40))))</f>
        <v>5</v>
      </c>
      <c r="N6" s="22">
        <f t="shared" ref="N6:N8" si="0">L6/40</f>
        <v>0.05</v>
      </c>
      <c r="O6" s="23">
        <f t="shared" ref="O6:O8" si="1">F6+J6+M6+N6</f>
        <v>9.0500000000000007</v>
      </c>
      <c r="Q6" s="22" t="s">
        <v>36</v>
      </c>
      <c r="R6" s="22">
        <v>3</v>
      </c>
      <c r="T6" s="22" t="s">
        <v>80</v>
      </c>
      <c r="U6" s="22">
        <v>3</v>
      </c>
    </row>
    <row r="7" spans="2:21" x14ac:dyDescent="0.2">
      <c r="B7" s="22">
        <v>1</v>
      </c>
      <c r="C7" s="42" t="s">
        <v>73</v>
      </c>
      <c r="D7" s="22" t="s">
        <v>70</v>
      </c>
      <c r="E7" s="22" t="s">
        <v>67</v>
      </c>
      <c r="F7" s="22">
        <f>IF(E7="I",$R$5,IF(E7="IV",$R$6,IF(E7="PICTO",$R$7,IF(E7="PICT",$R$8,0))))</f>
        <v>5</v>
      </c>
      <c r="G7" s="42" t="s">
        <v>80</v>
      </c>
      <c r="H7" s="42" t="s">
        <v>75</v>
      </c>
      <c r="I7" s="22" t="s">
        <v>78</v>
      </c>
      <c r="J7" s="22">
        <f>IF(G7="UNCUYO",$U$5,IF(G7="Nacional",$U$6,IF(G7="Internacional",$U$7,0)))</f>
        <v>3</v>
      </c>
      <c r="K7" s="22" t="s">
        <v>33</v>
      </c>
      <c r="L7" s="22">
        <v>2</v>
      </c>
      <c r="M7" s="22">
        <f>IF(K7="D",$R$13,IF(K7="Co",$R$14,IF(K7="I",$R$15,IF(K7="Cb",IF(K7="B",$R$17,0)*M7/40))))</f>
        <v>3</v>
      </c>
      <c r="N7" s="22">
        <f t="shared" si="0"/>
        <v>0.05</v>
      </c>
      <c r="O7" s="23">
        <f t="shared" si="1"/>
        <v>11.05</v>
      </c>
      <c r="Q7" s="22" t="s">
        <v>67</v>
      </c>
      <c r="R7" s="22">
        <v>5</v>
      </c>
      <c r="T7" s="22" t="s">
        <v>81</v>
      </c>
      <c r="U7" s="22">
        <v>5</v>
      </c>
    </row>
    <row r="8" spans="2:21" x14ac:dyDescent="0.2">
      <c r="B8" s="22">
        <v>1</v>
      </c>
      <c r="C8" s="42" t="s">
        <v>74</v>
      </c>
      <c r="D8" s="22" t="s">
        <v>69</v>
      </c>
      <c r="E8" s="22" t="s">
        <v>68</v>
      </c>
      <c r="F8" s="22">
        <f>IF(E8="I",$R$5,IF(E8="IV",$R$6,IF(E8="PICTO",$R$7,IF(E8="PICT",$R$8,0))))</f>
        <v>5</v>
      </c>
      <c r="G8" s="42" t="s">
        <v>81</v>
      </c>
      <c r="H8" s="42" t="s">
        <v>75</v>
      </c>
      <c r="I8" s="22" t="s">
        <v>79</v>
      </c>
      <c r="J8" s="22">
        <f>IF(G8="UNCUYO",$U$5,IF(G8="Nacional",$U$6,IF(G8="Internacional",$U$7,0)))</f>
        <v>5</v>
      </c>
      <c r="K8" s="22" t="s">
        <v>33</v>
      </c>
      <c r="L8" s="22">
        <v>2</v>
      </c>
      <c r="M8" s="22">
        <f>IF(K8="D",$R$13,IF(K8="Co",$R$14,IF(K8="I",$R$15,IF(K8="Cb",IF(K8="B",$R$17,0)*M8/40))))</f>
        <v>3</v>
      </c>
      <c r="N8" s="22">
        <f t="shared" si="0"/>
        <v>0.05</v>
      </c>
      <c r="O8" s="23">
        <f t="shared" si="1"/>
        <v>13.05</v>
      </c>
      <c r="P8" s="95"/>
      <c r="Q8" s="22" t="s">
        <v>68</v>
      </c>
      <c r="R8" s="22">
        <v>5</v>
      </c>
      <c r="U8" s="47"/>
    </row>
    <row r="9" spans="2:21" x14ac:dyDescent="0.2">
      <c r="B9" s="47"/>
      <c r="C9" s="47"/>
      <c r="D9" s="47"/>
      <c r="E9" s="24"/>
      <c r="F9" s="47"/>
      <c r="G9" s="47"/>
      <c r="H9" s="47"/>
      <c r="I9" s="47"/>
      <c r="J9" s="24"/>
      <c r="K9" s="24"/>
      <c r="L9" s="24"/>
      <c r="M9" s="24"/>
      <c r="N9" s="24"/>
      <c r="O9" s="24"/>
      <c r="P9" s="33"/>
      <c r="Q9" s="24"/>
      <c r="R9" s="24"/>
      <c r="S9" s="49"/>
      <c r="U9" s="52"/>
    </row>
    <row r="10" spans="2:21" ht="18" x14ac:dyDescent="0.3">
      <c r="B10" s="48"/>
      <c r="C10" s="48"/>
      <c r="D10" s="48"/>
      <c r="E10" s="33"/>
      <c r="F10" s="48"/>
      <c r="G10" s="48"/>
      <c r="H10" s="48"/>
      <c r="I10" s="48"/>
      <c r="J10" s="33"/>
      <c r="K10" s="33"/>
      <c r="L10" s="33"/>
      <c r="M10" s="33"/>
      <c r="N10" s="37" t="s">
        <v>229</v>
      </c>
      <c r="O10" s="23">
        <f>SUM(O5:O8)</f>
        <v>38.25</v>
      </c>
    </row>
    <row r="11" spans="2:21" ht="18" x14ac:dyDescent="0.3">
      <c r="B11" s="48"/>
      <c r="C11" s="48"/>
      <c r="D11" s="48"/>
      <c r="E11" s="33"/>
      <c r="F11" s="48"/>
      <c r="G11" s="48"/>
      <c r="H11" s="48"/>
      <c r="I11" s="48"/>
      <c r="J11" s="33"/>
      <c r="K11" s="33"/>
      <c r="L11" s="33"/>
      <c r="M11" s="33"/>
      <c r="N11" s="37" t="s">
        <v>98</v>
      </c>
      <c r="O11" s="22">
        <f>IF(AND(AI!$C$7="T",O10&lt;$U$13),0,IF(AND(AI!$C$7="T",O10&gt;$U$13),3,IF(AND(AI!$C$7="AS",O10&lt;$U$14),0,IF(AND(AI!$C$7="AS",O10&gt;$U$14),3,IF(AND(AI!$C$7="AJ",O10&lt;$U$15),0,IF(AND(AI!$C$7="AJ",O10&gt;$U$15),3,IF(AND(AI!$C$7="JTP",O10&lt;$U$16),0,IF(AND(AI!$C$7="JTP",O10&gt;$U$16),3,IF(AND(AI!$C$7="AY1",O10&lt;$U$17),0,IF(AND(AI!$C$7="AY1",O10&gt;$U$17),3,IF(AND(AI!$C$7="AY2",O10=0),0,IF(AND(AI!$C$7="AY2",O10&gt;1),3,1))))))))))))</f>
        <v>3</v>
      </c>
      <c r="Q11" t="s">
        <v>265</v>
      </c>
      <c r="T11" t="s">
        <v>266</v>
      </c>
    </row>
    <row r="12" spans="2:21" x14ac:dyDescent="0.2">
      <c r="B12" s="48"/>
      <c r="C12" s="48"/>
      <c r="D12" s="48"/>
      <c r="E12" s="33"/>
      <c r="F12" s="48"/>
      <c r="G12" s="48"/>
      <c r="H12" s="48"/>
      <c r="I12" s="48"/>
      <c r="J12" s="33"/>
      <c r="K12" s="33"/>
      <c r="L12" s="33"/>
      <c r="M12" s="33"/>
      <c r="N12" s="33"/>
      <c r="O12" s="33"/>
      <c r="P12" s="33"/>
      <c r="Q12" s="37" t="s">
        <v>83</v>
      </c>
      <c r="R12" s="37" t="s">
        <v>66</v>
      </c>
      <c r="T12" s="1" t="s">
        <v>0</v>
      </c>
      <c r="U12" s="1" t="s">
        <v>46</v>
      </c>
    </row>
    <row r="13" spans="2:21" x14ac:dyDescent="0.2">
      <c r="B13" s="48"/>
      <c r="C13" s="48"/>
      <c r="D13" s="48"/>
      <c r="E13" s="33"/>
      <c r="F13" s="48"/>
      <c r="G13" s="48"/>
      <c r="H13" s="48"/>
      <c r="I13" s="48"/>
      <c r="J13" s="33"/>
      <c r="K13" s="33"/>
      <c r="L13" s="33"/>
      <c r="M13" s="33"/>
      <c r="N13" s="33"/>
      <c r="O13" s="33"/>
      <c r="P13" s="33"/>
      <c r="Q13" s="45" t="s">
        <v>84</v>
      </c>
      <c r="R13" s="18">
        <v>10</v>
      </c>
      <c r="T13" s="16" t="s">
        <v>16</v>
      </c>
      <c r="U13" s="16">
        <v>9</v>
      </c>
    </row>
    <row r="14" spans="2:21" ht="18" x14ac:dyDescent="0.3">
      <c r="B14" s="30" t="s">
        <v>52</v>
      </c>
      <c r="C14" s="30"/>
      <c r="Q14" s="45" t="s">
        <v>85</v>
      </c>
      <c r="R14" s="18">
        <v>5</v>
      </c>
      <c r="T14" s="18" t="s">
        <v>20</v>
      </c>
      <c r="U14" s="18">
        <v>9</v>
      </c>
    </row>
    <row r="15" spans="2:21" x14ac:dyDescent="0.2">
      <c r="B15" s="25" t="s">
        <v>59</v>
      </c>
      <c r="C15" s="12" t="s">
        <v>57</v>
      </c>
      <c r="D15" s="40"/>
      <c r="E15" s="40"/>
      <c r="F15" s="40"/>
      <c r="G15" s="40"/>
      <c r="H15" s="40"/>
      <c r="I15" s="40"/>
      <c r="J15" s="41"/>
      <c r="K15" s="12" t="s">
        <v>58</v>
      </c>
      <c r="L15" s="40"/>
      <c r="M15" s="41"/>
      <c r="N15" s="40"/>
      <c r="O15" s="5" t="s">
        <v>61</v>
      </c>
      <c r="P15" s="84" t="s">
        <v>127</v>
      </c>
      <c r="Q15" s="45" t="s">
        <v>33</v>
      </c>
      <c r="R15" s="18">
        <v>3</v>
      </c>
      <c r="T15" s="18" t="s">
        <v>21</v>
      </c>
      <c r="U15" s="18">
        <v>5</v>
      </c>
    </row>
    <row r="16" spans="2:21" ht="15.75" x14ac:dyDescent="0.25">
      <c r="B16" s="39"/>
      <c r="C16" s="43" t="s">
        <v>132</v>
      </c>
      <c r="D16" s="43" t="s">
        <v>54</v>
      </c>
      <c r="E16" s="43" t="s">
        <v>60</v>
      </c>
      <c r="F16" s="43" t="s">
        <v>65</v>
      </c>
      <c r="G16" s="43" t="s">
        <v>55</v>
      </c>
      <c r="H16" s="43" t="s">
        <v>3</v>
      </c>
      <c r="I16" s="43" t="s">
        <v>56</v>
      </c>
      <c r="J16" s="43" t="s">
        <v>64</v>
      </c>
      <c r="K16" s="43" t="s">
        <v>0</v>
      </c>
      <c r="L16" s="43" t="s">
        <v>62</v>
      </c>
      <c r="M16" s="43" t="s">
        <v>63</v>
      </c>
      <c r="N16" s="43" t="s">
        <v>88</v>
      </c>
      <c r="O16" s="44"/>
      <c r="P16" s="84"/>
      <c r="Q16" s="45" t="s">
        <v>86</v>
      </c>
      <c r="R16" s="18">
        <v>1</v>
      </c>
      <c r="T16" s="18" t="s">
        <v>22</v>
      </c>
      <c r="U16" s="18">
        <v>5</v>
      </c>
    </row>
    <row r="17" spans="2:21" x14ac:dyDescent="0.2">
      <c r="B17" s="22">
        <v>2</v>
      </c>
      <c r="C17" s="42" t="s">
        <v>71</v>
      </c>
      <c r="D17" s="22" t="s">
        <v>69</v>
      </c>
      <c r="E17" s="22" t="s">
        <v>33</v>
      </c>
      <c r="F17" s="22">
        <f>IF(E17="I",$R$5,IF(E17="IV",$R$6,IF(E17="PICTO",$R$7,IF(E17="PICT",$R$8,0))))</f>
        <v>1</v>
      </c>
      <c r="G17" s="42" t="s">
        <v>69</v>
      </c>
      <c r="H17" s="42" t="s">
        <v>75</v>
      </c>
      <c r="I17" s="22" t="s">
        <v>76</v>
      </c>
      <c r="J17" s="22">
        <f>IF(G17="UNCUYO",$U$5,IF(G17="Nacional",$U$6,IF(G17="Internacional",$U$7,0)))</f>
        <v>1</v>
      </c>
      <c r="K17" s="22" t="s">
        <v>33</v>
      </c>
      <c r="L17" s="22">
        <v>4</v>
      </c>
      <c r="M17" s="22">
        <f>IF(K17="D",$R$13,IF(K17="Co",$R$14,IF(K17="I",$R$15,IF(K17="Cb",IF(K17="B",$R$17,0)*M17/40))))</f>
        <v>3</v>
      </c>
      <c r="N17" s="50">
        <f>L17/40</f>
        <v>0.1</v>
      </c>
      <c r="O17" s="23">
        <f>F17+J17+M17+N17</f>
        <v>5.0999999999999996</v>
      </c>
      <c r="P17" s="49"/>
      <c r="Q17" s="46" t="s">
        <v>87</v>
      </c>
      <c r="R17" s="20">
        <v>1</v>
      </c>
      <c r="T17" s="18" t="s">
        <v>23</v>
      </c>
      <c r="U17" s="18">
        <v>0</v>
      </c>
    </row>
    <row r="18" spans="2:21" x14ac:dyDescent="0.2">
      <c r="B18" s="22">
        <v>2</v>
      </c>
      <c r="C18" s="42" t="s">
        <v>71</v>
      </c>
      <c r="D18" s="22" t="s">
        <v>69</v>
      </c>
      <c r="E18" s="22" t="s">
        <v>33</v>
      </c>
      <c r="F18" s="22">
        <f>IF(E18="I",$R$5,IF(E18="IV",$R$6,IF(E18="PICTO",$R$7,IF(E18="PICT",$R$8,0))))</f>
        <v>1</v>
      </c>
      <c r="G18" s="42" t="s">
        <v>69</v>
      </c>
      <c r="H18" s="42" t="s">
        <v>93</v>
      </c>
      <c r="I18" s="22" t="s">
        <v>77</v>
      </c>
      <c r="J18" s="22">
        <f>IF(G18="UNCUYO",$U$5,IF(G18="Nacional",$U$6,IF(G18="Internacional",$U$7,0)))</f>
        <v>1</v>
      </c>
      <c r="K18" s="22" t="s">
        <v>33</v>
      </c>
      <c r="L18" s="22">
        <v>2</v>
      </c>
      <c r="M18" s="22">
        <f>IF(K18="D",$R$13,IF(K18="Co",$R$14,IF(K18="I",$R$15,IF(K18="Cb",IF(K18="B",$R$17,0)*M18/40))))</f>
        <v>3</v>
      </c>
      <c r="N18" s="22">
        <f t="shared" ref="N18:N20" si="2">L18/40</f>
        <v>0.05</v>
      </c>
      <c r="O18" s="23">
        <f t="shared" ref="O18:O20" si="3">F18+J18+M18+N18</f>
        <v>5.05</v>
      </c>
      <c r="P18" s="49"/>
      <c r="Q18" s="51" t="s">
        <v>89</v>
      </c>
      <c r="T18" s="20" t="s">
        <v>25</v>
      </c>
      <c r="U18" s="20">
        <v>0</v>
      </c>
    </row>
    <row r="19" spans="2:21" x14ac:dyDescent="0.2">
      <c r="B19" s="22">
        <v>2</v>
      </c>
      <c r="C19" s="42"/>
      <c r="D19" s="22"/>
      <c r="E19" s="22"/>
      <c r="F19" s="22">
        <f>IF(E19="I",$R$5,IF(E19="IV",$R$6,IF(E19="PICTO",$R$7,IF(E19="PICT",$R$8,0))))</f>
        <v>0</v>
      </c>
      <c r="G19" s="42"/>
      <c r="H19" s="42"/>
      <c r="I19" s="22"/>
      <c r="J19" s="22">
        <f>IF(G19="UNCUYO",$U$5,IF(G19="Nacional",$U$6,IF(G19="Internacional",$U$7,0)))</f>
        <v>0</v>
      </c>
      <c r="K19" s="22"/>
      <c r="L19" s="22"/>
      <c r="M19" s="22" t="b">
        <f>IF(K19="D",$R$13,IF(K19="Co",$R$14,IF(K19="I",$R$15,IF(K19="Cb",IF(K19="B",$R$17,0)*M19/40))))</f>
        <v>0</v>
      </c>
      <c r="N19" s="22">
        <f t="shared" si="2"/>
        <v>0</v>
      </c>
      <c r="O19" s="23">
        <f t="shared" si="3"/>
        <v>0</v>
      </c>
      <c r="P19" s="49"/>
      <c r="S19" s="52"/>
    </row>
    <row r="20" spans="2:21" ht="18" x14ac:dyDescent="0.3">
      <c r="B20" s="22">
        <v>2</v>
      </c>
      <c r="C20" s="42"/>
      <c r="D20" s="22"/>
      <c r="E20" s="22"/>
      <c r="F20" s="22">
        <f>IF(E20="I",$R$5,IF(E20="IV",$R$6,IF(E20="PICTO",$R$7,IF(E20="PICT",$R$8,0))))</f>
        <v>0</v>
      </c>
      <c r="G20" s="42"/>
      <c r="H20" s="42"/>
      <c r="I20" s="22"/>
      <c r="J20" s="22">
        <f>IF(G20="UNCUYO",$U$5,IF(G20="Nacional",$U$6,IF(G20="Internacional",$U$7,0)))</f>
        <v>0</v>
      </c>
      <c r="K20" s="22"/>
      <c r="L20" s="22"/>
      <c r="M20" s="22" t="b">
        <f>IF(K20="D",$R$13,IF(K20="Co",$R$14,IF(K20="I",$R$15,IF(K20="Cb",IF(K20="B",$R$17,0)*M20/40))))</f>
        <v>0</v>
      </c>
      <c r="N20" s="22">
        <f t="shared" si="2"/>
        <v>0</v>
      </c>
      <c r="O20" s="23">
        <f t="shared" si="3"/>
        <v>0</v>
      </c>
      <c r="P20" s="82"/>
      <c r="Q20" s="38" t="s">
        <v>267</v>
      </c>
    </row>
    <row r="21" spans="2:21" ht="18" x14ac:dyDescent="0.3">
      <c r="B21" s="47"/>
      <c r="C21" s="47"/>
      <c r="D21" s="47"/>
      <c r="E21" s="24"/>
      <c r="F21" s="47"/>
      <c r="G21" s="47"/>
      <c r="H21" s="47"/>
      <c r="I21" s="47"/>
      <c r="J21" s="24"/>
      <c r="K21" s="24"/>
      <c r="L21" s="24"/>
      <c r="M21" s="24"/>
      <c r="N21" s="24"/>
      <c r="O21" s="24"/>
      <c r="P21" s="33"/>
      <c r="Q21" s="37" t="s">
        <v>90</v>
      </c>
      <c r="R21" s="37" t="s">
        <v>91</v>
      </c>
    </row>
    <row r="22" spans="2:21" ht="18" x14ac:dyDescent="0.3">
      <c r="B22" s="48"/>
      <c r="C22" s="48"/>
      <c r="D22" s="48"/>
      <c r="E22" s="33"/>
      <c r="F22" s="48"/>
      <c r="G22" s="48"/>
      <c r="H22" s="48"/>
      <c r="I22" s="48"/>
      <c r="J22" s="33"/>
      <c r="K22" s="33"/>
      <c r="L22" s="33"/>
      <c r="M22" s="33"/>
      <c r="N22" s="37" t="s">
        <v>230</v>
      </c>
      <c r="O22" s="23">
        <f>SUM(O17:O20)</f>
        <v>10.149999999999999</v>
      </c>
      <c r="Q22" s="22" t="s">
        <v>47</v>
      </c>
      <c r="R22" s="22">
        <v>0</v>
      </c>
    </row>
    <row r="23" spans="2:21" ht="18" x14ac:dyDescent="0.3">
      <c r="B23" s="48"/>
      <c r="C23" s="48"/>
      <c r="D23" s="48"/>
      <c r="E23" s="33"/>
      <c r="F23" s="48"/>
      <c r="G23" s="48"/>
      <c r="H23" s="48"/>
      <c r="I23" s="48"/>
      <c r="J23" s="33"/>
      <c r="K23" s="33"/>
      <c r="L23" s="33"/>
      <c r="M23" s="33"/>
      <c r="N23" s="37" t="s">
        <v>99</v>
      </c>
      <c r="O23" s="22">
        <f>IF(AND(AI!$C$8="T",O22&lt;$U$13),0,IF(AND(AI!$C$8="T",O22&gt;$U$13),3,IF(AND(AI!$C$8="AS",O22&lt;$U$14),0,IF(AND(AI!$C$8="AS",O22&gt;$U$14),3,IF(AND(AI!$C$8="AJ",O22&lt;$U$15),0,IF(AND(AI!$C$8="AJ",O22&gt;$U$15),3,IF(AND(AI!$C$8="JTP",O22&lt;$U$16),0,IF(AND(AI!$C$8="JTP",O22&gt;$U$16),3,IF(AND(AI!$C$8="AY1",O22&lt;$U$17),0,IF(AND(AI!$C$8="AY1",O22&gt;$U$17),3,IF(AND(AI!$C$8="AY2",O22=0),0,IF(AND(AI!$C$8="AY2",O22&gt;1),3,1))))))))))))</f>
        <v>3</v>
      </c>
      <c r="Q23" s="22" t="s">
        <v>49</v>
      </c>
      <c r="R23" s="22">
        <v>1</v>
      </c>
    </row>
    <row r="24" spans="2:21" x14ac:dyDescent="0.2">
      <c r="Q24" s="22" t="s">
        <v>50</v>
      </c>
      <c r="R24" s="22">
        <v>3</v>
      </c>
    </row>
    <row r="25" spans="2:21" ht="18" x14ac:dyDescent="0.3">
      <c r="B25" s="30" t="s">
        <v>52</v>
      </c>
      <c r="C25" s="30"/>
    </row>
    <row r="26" spans="2:21" x14ac:dyDescent="0.2">
      <c r="B26" s="25" t="s">
        <v>59</v>
      </c>
      <c r="C26" s="12" t="s">
        <v>57</v>
      </c>
      <c r="D26" s="40"/>
      <c r="E26" s="40"/>
      <c r="F26" s="40"/>
      <c r="G26" s="40"/>
      <c r="H26" s="40"/>
      <c r="I26" s="40"/>
      <c r="J26" s="41"/>
      <c r="K26" s="12" t="s">
        <v>58</v>
      </c>
      <c r="L26" s="40"/>
      <c r="M26" s="41"/>
      <c r="N26" s="40"/>
      <c r="O26" s="5" t="s">
        <v>61</v>
      </c>
      <c r="P26" s="84" t="s">
        <v>127</v>
      </c>
    </row>
    <row r="27" spans="2:21" ht="15.75" x14ac:dyDescent="0.25">
      <c r="B27" s="39"/>
      <c r="C27" s="43" t="s">
        <v>132</v>
      </c>
      <c r="D27" s="43" t="s">
        <v>54</v>
      </c>
      <c r="E27" s="43" t="s">
        <v>60</v>
      </c>
      <c r="F27" s="43" t="s">
        <v>65</v>
      </c>
      <c r="G27" s="43" t="s">
        <v>55</v>
      </c>
      <c r="H27" s="43" t="s">
        <v>3</v>
      </c>
      <c r="I27" s="43" t="s">
        <v>56</v>
      </c>
      <c r="J27" s="43" t="s">
        <v>64</v>
      </c>
      <c r="K27" s="43" t="s">
        <v>0</v>
      </c>
      <c r="L27" s="43" t="s">
        <v>62</v>
      </c>
      <c r="M27" s="43" t="s">
        <v>63</v>
      </c>
      <c r="N27" s="43" t="s">
        <v>88</v>
      </c>
      <c r="O27" s="44"/>
      <c r="P27" s="84"/>
    </row>
    <row r="28" spans="2:21" x14ac:dyDescent="0.2">
      <c r="B28" s="22">
        <v>3</v>
      </c>
      <c r="C28" s="42" t="s">
        <v>71</v>
      </c>
      <c r="D28" s="22" t="s">
        <v>69</v>
      </c>
      <c r="E28" s="22" t="s">
        <v>33</v>
      </c>
      <c r="F28" s="22">
        <f>IF(E28="I",$R$5,IF(E28="IV",$R$6,IF(E28="PICTO",$R$7,IF(E28="PICT",$R$8,0))))</f>
        <v>1</v>
      </c>
      <c r="G28" s="42" t="s">
        <v>69</v>
      </c>
      <c r="H28" s="42" t="s">
        <v>75</v>
      </c>
      <c r="I28" s="22" t="s">
        <v>76</v>
      </c>
      <c r="J28" s="22">
        <f>IF(G28="UNCUYO",$U$5,IF(G28="Nacional",$U$6,IF(G28="Internacional",$U$7,0)))</f>
        <v>1</v>
      </c>
      <c r="K28" s="22" t="s">
        <v>33</v>
      </c>
      <c r="L28" s="22">
        <v>4</v>
      </c>
      <c r="M28" s="22">
        <f>IF(K28="D",$R$13,IF(K28="Co",$R$14,IF(K28="I",$R$15,IF(K28="Cb",IF(K28="B",$R$17,0)*M28/40))))</f>
        <v>3</v>
      </c>
      <c r="N28" s="50">
        <f>L28/40</f>
        <v>0.1</v>
      </c>
      <c r="O28" s="23">
        <f>F28+J28+M28+N28</f>
        <v>5.0999999999999996</v>
      </c>
      <c r="P28" s="49"/>
    </row>
    <row r="29" spans="2:21" x14ac:dyDescent="0.2">
      <c r="B29" s="22">
        <v>3</v>
      </c>
      <c r="C29" s="42"/>
      <c r="D29" s="22"/>
      <c r="E29" s="22"/>
      <c r="F29" s="22">
        <f>IF(E29="I",$R$5,IF(E29="IV",$R$6,IF(E29="PICTO",$R$7,IF(E29="PICT",$R$8,0))))</f>
        <v>0</v>
      </c>
      <c r="G29" s="42"/>
      <c r="H29" s="42"/>
      <c r="I29" s="22"/>
      <c r="J29" s="22">
        <f>IF(G29="UNCUYO",$U$5,IF(G29="Nacional",$U$6,IF(G29="Internacional",$U$7,0)))</f>
        <v>0</v>
      </c>
      <c r="K29" s="22"/>
      <c r="L29" s="22"/>
      <c r="M29" s="22" t="b">
        <f>IF(K29="D",$R$13,IF(K29="Co",$R$14,IF(K29="I",$R$15,IF(K29="Cb",IF(K29="B",$R$17,0)*M29/40))))</f>
        <v>0</v>
      </c>
      <c r="N29" s="22">
        <f t="shared" ref="N29:N31" si="4">L29/40</f>
        <v>0</v>
      </c>
      <c r="O29" s="23">
        <f t="shared" ref="O29:O31" si="5">F29+J29+M29+N29</f>
        <v>0</v>
      </c>
      <c r="P29" s="49"/>
    </row>
    <row r="30" spans="2:21" x14ac:dyDescent="0.2">
      <c r="B30" s="22">
        <v>3</v>
      </c>
      <c r="C30" s="42"/>
      <c r="D30" s="22"/>
      <c r="E30" s="22"/>
      <c r="F30" s="22">
        <f>IF(E30="I",$R$5,IF(E30="IV",$R$6,IF(E30="PICTO",$R$7,IF(E30="PICT",$R$8,0))))</f>
        <v>0</v>
      </c>
      <c r="G30" s="42"/>
      <c r="H30" s="42"/>
      <c r="I30" s="22"/>
      <c r="J30" s="22">
        <f>IF(G30="UNCUYO",$U$5,IF(G30="Nacional",$U$6,IF(G30="Internacional",$U$7,0)))</f>
        <v>0</v>
      </c>
      <c r="K30" s="22"/>
      <c r="L30" s="22"/>
      <c r="M30" s="22" t="b">
        <f>IF(K30="D",$R$13,IF(K30="Co",$R$14,IF(K30="I",$R$15,IF(K30="Cb",IF(K30="B",$R$17,0)*M30/40))))</f>
        <v>0</v>
      </c>
      <c r="N30" s="22">
        <f t="shared" si="4"/>
        <v>0</v>
      </c>
      <c r="O30" s="23">
        <f t="shared" si="5"/>
        <v>0</v>
      </c>
      <c r="P30" s="49"/>
    </row>
    <row r="31" spans="2:21" x14ac:dyDescent="0.2">
      <c r="B31" s="22">
        <v>3</v>
      </c>
      <c r="C31" s="42"/>
      <c r="D31" s="22"/>
      <c r="E31" s="22"/>
      <c r="F31" s="22">
        <f>IF(E31="I",$R$5,IF(E31="IV",$R$6,IF(E31="PICTO",$R$7,IF(E31="PICT",$R$8,0))))</f>
        <v>0</v>
      </c>
      <c r="G31" s="42"/>
      <c r="H31" s="42"/>
      <c r="I31" s="22"/>
      <c r="J31" s="22">
        <f>IF(G31="UNCUYO",$U$5,IF(G31="Nacional",$U$6,IF(G31="Internacional",$U$7,0)))</f>
        <v>0</v>
      </c>
      <c r="K31" s="22"/>
      <c r="L31" s="22"/>
      <c r="M31" s="22" t="b">
        <f>IF(K31="D",$R$13,IF(K31="Co",$R$14,IF(K31="I",$R$15,IF(K31="Cb",IF(K31="B",$R$17,0)*M31/40))))</f>
        <v>0</v>
      </c>
      <c r="N31" s="22">
        <f t="shared" si="4"/>
        <v>0</v>
      </c>
      <c r="O31" s="23">
        <f t="shared" si="5"/>
        <v>0</v>
      </c>
      <c r="P31" s="82"/>
      <c r="Q31" s="48"/>
      <c r="R31" s="48"/>
      <c r="S31" s="48"/>
    </row>
    <row r="32" spans="2:21" x14ac:dyDescent="0.2">
      <c r="B32" s="47"/>
      <c r="C32" s="47"/>
      <c r="D32" s="47"/>
      <c r="E32" s="24"/>
      <c r="F32" s="47"/>
      <c r="G32" s="47"/>
      <c r="H32" s="47"/>
      <c r="I32" s="47"/>
      <c r="J32" s="24"/>
      <c r="K32" s="24"/>
      <c r="L32" s="24"/>
      <c r="M32" s="24"/>
      <c r="N32" s="24"/>
      <c r="O32" s="24"/>
      <c r="P32" s="33"/>
      <c r="Q32" s="33"/>
      <c r="R32" s="33"/>
      <c r="S32" s="49"/>
    </row>
    <row r="33" spans="2:19" ht="18" x14ac:dyDescent="0.3">
      <c r="B33" s="48"/>
      <c r="C33" s="48"/>
      <c r="D33" s="48"/>
      <c r="E33" s="33"/>
      <c r="F33" s="48"/>
      <c r="G33" s="48"/>
      <c r="H33" s="48"/>
      <c r="I33" s="48"/>
      <c r="J33" s="33"/>
      <c r="K33" s="33"/>
      <c r="L33" s="33"/>
      <c r="M33" s="33"/>
      <c r="N33" s="37" t="s">
        <v>231</v>
      </c>
      <c r="O33" s="23">
        <f>SUM(O28:O31)</f>
        <v>5.0999999999999996</v>
      </c>
    </row>
    <row r="34" spans="2:19" ht="18" x14ac:dyDescent="0.3">
      <c r="B34" s="48"/>
      <c r="C34" s="48"/>
      <c r="D34" s="48"/>
      <c r="E34" s="33"/>
      <c r="F34" s="48"/>
      <c r="G34" s="48"/>
      <c r="H34" s="48"/>
      <c r="I34" s="48"/>
      <c r="J34" s="33"/>
      <c r="K34" s="33"/>
      <c r="L34" s="33"/>
      <c r="M34" s="33"/>
      <c r="N34" s="37" t="s">
        <v>100</v>
      </c>
      <c r="O34" s="22">
        <f>IF(AND(AI!$C$9="T",O33&lt;$U$13),0,IF(AND(AI!$C$9="T",O33&gt;$U$13),3,IF(AND(AI!$C$9="AS",O33&lt;$U$14),0,IF(AND(AI!$C$9="AS",O33&gt;$U$14),3,IF(AND(AI!$C$9="AJ",O33&lt;$U$15),0,IF(AND(AI!$C$9="AJ",O33&gt;$U$15),3,IF(AND(AI!$C$9="JTP",O33&lt;$U$16),0,IF(AND(AI!$C$9="JTP",O33&gt;$U$16),3,IF(AND(AI!$C$9="AY1",O33&lt;$U$17),0,IF(AND(AI!$C$9="AY1",O33&gt;$U$17),3,IF(AND(AI!$C$9="AY2",O33=0),0,IF(AND(AI!$C$9="AY2",O33&gt;1),3,1))))))))))))</f>
        <v>0</v>
      </c>
    </row>
    <row r="36" spans="2:19" ht="18" x14ac:dyDescent="0.3">
      <c r="B36" s="30" t="s">
        <v>52</v>
      </c>
      <c r="C36" s="30"/>
    </row>
    <row r="37" spans="2:19" x14ac:dyDescent="0.2">
      <c r="B37" s="25" t="s">
        <v>59</v>
      </c>
      <c r="C37" s="12" t="s">
        <v>57</v>
      </c>
      <c r="D37" s="40"/>
      <c r="E37" s="40"/>
      <c r="F37" s="40"/>
      <c r="G37" s="40"/>
      <c r="H37" s="40"/>
      <c r="I37" s="40"/>
      <c r="J37" s="41"/>
      <c r="K37" s="12" t="s">
        <v>58</v>
      </c>
      <c r="L37" s="40"/>
      <c r="M37" s="41"/>
      <c r="N37" s="40"/>
      <c r="O37" s="5" t="s">
        <v>61</v>
      </c>
      <c r="P37" s="84" t="s">
        <v>127</v>
      </c>
    </row>
    <row r="38" spans="2:19" ht="15.75" x14ac:dyDescent="0.25">
      <c r="B38" s="39"/>
      <c r="C38" s="43" t="s">
        <v>53</v>
      </c>
      <c r="D38" s="43" t="s">
        <v>54</v>
      </c>
      <c r="E38" s="43" t="s">
        <v>60</v>
      </c>
      <c r="F38" s="43" t="s">
        <v>65</v>
      </c>
      <c r="G38" s="43" t="s">
        <v>55</v>
      </c>
      <c r="H38" s="43" t="s">
        <v>3</v>
      </c>
      <c r="I38" s="43" t="s">
        <v>56</v>
      </c>
      <c r="J38" s="43" t="s">
        <v>64</v>
      </c>
      <c r="K38" s="43" t="s">
        <v>0</v>
      </c>
      <c r="L38" s="43" t="s">
        <v>62</v>
      </c>
      <c r="M38" s="43" t="s">
        <v>63</v>
      </c>
      <c r="N38" s="43" t="s">
        <v>88</v>
      </c>
      <c r="O38" s="44"/>
      <c r="P38" s="84"/>
    </row>
    <row r="39" spans="2:19" x14ac:dyDescent="0.2">
      <c r="B39" s="22">
        <v>4</v>
      </c>
      <c r="C39" s="42" t="s">
        <v>71</v>
      </c>
      <c r="D39" s="22" t="s">
        <v>69</v>
      </c>
      <c r="E39" s="22" t="s">
        <v>33</v>
      </c>
      <c r="F39" s="22">
        <f>IF(E39="I",$R$5,IF(E39="IV",$R$6,IF(E39="PICTO",$R$7,IF(E39="PICT",$R$8,0))))</f>
        <v>1</v>
      </c>
      <c r="G39" s="42" t="s">
        <v>69</v>
      </c>
      <c r="H39" s="42" t="s">
        <v>75</v>
      </c>
      <c r="I39" s="22" t="s">
        <v>76</v>
      </c>
      <c r="J39" s="22">
        <f>IF(G39="UNCUYO",$U$5,IF(G39="Nacional",$U$6,IF(G39="Internacional",$U$7,0)))</f>
        <v>1</v>
      </c>
      <c r="K39" s="22" t="s">
        <v>33</v>
      </c>
      <c r="L39" s="22">
        <v>4</v>
      </c>
      <c r="M39" s="22">
        <f>IF(K39="D",$R$13,IF(K39="Co",$R$14,IF(K39="I",$R$15,IF(K39="Cb",IF(K39="B",$R$17,0)*M39/40))))</f>
        <v>3</v>
      </c>
      <c r="N39" s="50">
        <f>L39/40</f>
        <v>0.1</v>
      </c>
      <c r="O39" s="23">
        <f>F39+J39+M39+N39</f>
        <v>5.0999999999999996</v>
      </c>
      <c r="P39" s="49"/>
    </row>
    <row r="40" spans="2:19" x14ac:dyDescent="0.2">
      <c r="B40" s="22">
        <v>4</v>
      </c>
      <c r="C40" s="42" t="s">
        <v>72</v>
      </c>
      <c r="D40" s="22" t="s">
        <v>69</v>
      </c>
      <c r="E40" s="22" t="s">
        <v>36</v>
      </c>
      <c r="F40" s="22">
        <f>IF(E40="I",$R$5,IF(E40="IV",$R$6,IF(E40="PICTO",$R$7,IF(E40="PICT",$R$8,0))))</f>
        <v>3</v>
      </c>
      <c r="G40" s="42" t="s">
        <v>69</v>
      </c>
      <c r="H40" s="42" t="s">
        <v>75</v>
      </c>
      <c r="I40" s="22" t="s">
        <v>77</v>
      </c>
      <c r="J40" s="22">
        <f>IF(G40="UNCUYO",$U$5,IF(G40="Nacional",$U$6,IF(G40="Internacional",$U$7,0)))</f>
        <v>1</v>
      </c>
      <c r="K40" s="22" t="s">
        <v>85</v>
      </c>
      <c r="L40" s="22">
        <v>2</v>
      </c>
      <c r="M40" s="22">
        <f>IF(K40="D",$R$13,IF(K40="Co",$R$14,IF(K40="I",$R$15,IF(K40="Cb",IF(K40="B",$R$17,0)*M40/40))))</f>
        <v>5</v>
      </c>
      <c r="N40" s="22">
        <f t="shared" ref="N40:N42" si="6">L40/40</f>
        <v>0.05</v>
      </c>
      <c r="O40" s="23">
        <f t="shared" ref="O40:O42" si="7">F40+J40+M40+N40</f>
        <v>9.0500000000000007</v>
      </c>
      <c r="P40" s="49"/>
    </row>
    <row r="41" spans="2:19" x14ac:dyDescent="0.2">
      <c r="B41" s="22">
        <v>4</v>
      </c>
      <c r="C41" s="42" t="s">
        <v>73</v>
      </c>
      <c r="D41" s="22" t="s">
        <v>70</v>
      </c>
      <c r="E41" s="22" t="s">
        <v>67</v>
      </c>
      <c r="F41" s="22">
        <f>IF(E41="I",$R$5,IF(E41="IV",$R$6,IF(E41="PICTO",$R$7,IF(E41="PICT",$R$8,0))))</f>
        <v>5</v>
      </c>
      <c r="G41" s="42" t="s">
        <v>80</v>
      </c>
      <c r="H41" s="42" t="s">
        <v>75</v>
      </c>
      <c r="I41" s="22" t="s">
        <v>78</v>
      </c>
      <c r="J41" s="22">
        <f>IF(G41="UNCUYO",$U$5,IF(G41="Nacional",$U$6,IF(G41="Internacional",$U$7,0)))</f>
        <v>3</v>
      </c>
      <c r="K41" s="22" t="s">
        <v>33</v>
      </c>
      <c r="L41" s="22">
        <v>2</v>
      </c>
      <c r="M41" s="22">
        <f>IF(K41="D",$R$13,IF(K41="Co",$R$14,IF(K41="I",$R$15,IF(K41="Cb",IF(K41="B",$R$17,0)*M41/40))))</f>
        <v>3</v>
      </c>
      <c r="N41" s="22">
        <f t="shared" si="6"/>
        <v>0.05</v>
      </c>
      <c r="O41" s="23">
        <f t="shared" si="7"/>
        <v>11.05</v>
      </c>
      <c r="P41" s="49"/>
    </row>
    <row r="42" spans="2:19" x14ac:dyDescent="0.2">
      <c r="B42" s="22">
        <v>4</v>
      </c>
      <c r="C42" s="42" t="s">
        <v>74</v>
      </c>
      <c r="D42" s="22" t="s">
        <v>69</v>
      </c>
      <c r="E42" s="22" t="s">
        <v>68</v>
      </c>
      <c r="F42" s="22">
        <f>IF(E42="I",$R$5,IF(E42="IV",$R$6,IF(E42="PICTO",$R$7,IF(E42="PICT",$R$8,0))))</f>
        <v>5</v>
      </c>
      <c r="G42" s="42" t="s">
        <v>81</v>
      </c>
      <c r="H42" s="42" t="s">
        <v>75</v>
      </c>
      <c r="I42" s="22" t="s">
        <v>79</v>
      </c>
      <c r="J42" s="22">
        <f>IF(G42="UNCUYO",$U$5,IF(G42="Nacional",$U$6,IF(G42="Internacional",$U$7,0)))</f>
        <v>5</v>
      </c>
      <c r="K42" s="22" t="s">
        <v>33</v>
      </c>
      <c r="L42" s="22">
        <v>2</v>
      </c>
      <c r="M42" s="22">
        <f>IF(K42="D",$R$13,IF(K42="Co",$R$14,IF(K42="I",$R$15,IF(K42="Cb",IF(K42="B",$R$17,0)*M42/40))))</f>
        <v>3</v>
      </c>
      <c r="N42" s="22">
        <f t="shared" si="6"/>
        <v>0.05</v>
      </c>
      <c r="O42" s="23">
        <f t="shared" si="7"/>
        <v>13.05</v>
      </c>
      <c r="P42" s="82"/>
      <c r="Q42" s="48"/>
      <c r="R42" s="48"/>
      <c r="S42" s="48"/>
    </row>
    <row r="43" spans="2:19" x14ac:dyDescent="0.2">
      <c r="B43" s="47"/>
      <c r="C43" s="47"/>
      <c r="D43" s="47"/>
      <c r="E43" s="24"/>
      <c r="F43" s="47"/>
      <c r="G43" s="47"/>
      <c r="H43" s="47"/>
      <c r="I43" s="47"/>
      <c r="J43" s="24"/>
      <c r="K43" s="24"/>
      <c r="L43" s="24"/>
      <c r="M43" s="24"/>
      <c r="N43" s="24"/>
      <c r="O43" s="24"/>
      <c r="P43" s="33"/>
      <c r="Q43" s="33"/>
      <c r="R43" s="33"/>
      <c r="S43" s="49"/>
    </row>
    <row r="44" spans="2:19" ht="18" x14ac:dyDescent="0.3">
      <c r="B44" s="48"/>
      <c r="C44" s="48"/>
      <c r="D44" s="48"/>
      <c r="E44" s="33"/>
      <c r="F44" s="48"/>
      <c r="G44" s="48"/>
      <c r="H44" s="48"/>
      <c r="I44" s="48"/>
      <c r="J44" s="33"/>
      <c r="K44" s="33"/>
      <c r="L44" s="33"/>
      <c r="M44" s="33"/>
      <c r="N44" s="37" t="s">
        <v>232</v>
      </c>
      <c r="O44" s="23">
        <f>SUM(O39:O42)</f>
        <v>38.25</v>
      </c>
    </row>
    <row r="45" spans="2:19" ht="18" x14ac:dyDescent="0.3">
      <c r="B45" s="48"/>
      <c r="C45" s="48"/>
      <c r="D45" s="48"/>
      <c r="E45" s="33"/>
      <c r="F45" s="48"/>
      <c r="G45" s="48"/>
      <c r="H45" s="48"/>
      <c r="I45" s="48"/>
      <c r="J45" s="33"/>
      <c r="K45" s="33"/>
      <c r="L45" s="33"/>
      <c r="M45" s="33"/>
      <c r="N45" s="37" t="s">
        <v>101</v>
      </c>
      <c r="O45" s="22">
        <f>IF(AND(AI!$C$10="T",O44&lt;$U$13),0,IF(AND(AI!$C$10="T",O44&gt;$U$13),3,IF(AND(AI!$C$10="AS",O44&lt;$U$14),0,IF(AND(AI!$C$10="AS",O44&gt;$U$14),3,IF(AND(AI!$C$10="AJ",O44&lt;$U$15),0,IF(AND(AI!$C$10="AJ",O44&gt;$U$15),3,IF(AND(AI!$C$10="JTP",O44&lt;$U$16),0,IF(AND(AI!$C$10="JTP",O44&gt;$U$16),3,IF(AND(AI!$C$10="AY1",O44&lt;$U$17),0,IF(AND(AI!$C$10="AY1",O44&gt;$U$17),3,IF(AND(AI!$C$10="AY2",O44=0),0,IF(AND(AI!$C$10="AY2",O44&gt;1),3,1))))))))))))</f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7"/>
  <sheetViews>
    <sheetView workbookViewId="0">
      <selection activeCell="J25" sqref="J25"/>
    </sheetView>
  </sheetViews>
  <sheetFormatPr baseColWidth="10" defaultRowHeight="15" x14ac:dyDescent="0.2"/>
  <cols>
    <col min="1" max="1" width="1.21875" customWidth="1"/>
    <col min="3" max="3" width="16.44140625" customWidth="1"/>
    <col min="4" max="5" width="14.21875" customWidth="1"/>
    <col min="6" max="6" width="19.109375" customWidth="1"/>
    <col min="8" max="8" width="4.44140625" customWidth="1"/>
    <col min="9" max="9" width="18.44140625" customWidth="1"/>
    <col min="10" max="10" width="25.88671875" customWidth="1"/>
    <col min="12" max="12" width="17.88671875" customWidth="1"/>
    <col min="13" max="13" width="32.109375" customWidth="1"/>
  </cols>
  <sheetData>
    <row r="2" spans="2:13" ht="19.5" x14ac:dyDescent="0.35">
      <c r="B2" s="30" t="s">
        <v>297</v>
      </c>
      <c r="I2" s="30" t="s">
        <v>302</v>
      </c>
      <c r="L2" t="s">
        <v>313</v>
      </c>
    </row>
    <row r="3" spans="2:13" ht="18" x14ac:dyDescent="0.3">
      <c r="B3" s="37" t="s">
        <v>59</v>
      </c>
      <c r="C3" s="37" t="s">
        <v>0</v>
      </c>
      <c r="D3" s="37" t="s">
        <v>303</v>
      </c>
      <c r="E3" s="37" t="s">
        <v>310</v>
      </c>
      <c r="F3" s="37" t="s">
        <v>304</v>
      </c>
      <c r="G3" s="37" t="s">
        <v>233</v>
      </c>
      <c r="I3" s="37" t="s">
        <v>0</v>
      </c>
      <c r="J3" s="37" t="s">
        <v>144</v>
      </c>
      <c r="L3" s="1" t="s">
        <v>0</v>
      </c>
      <c r="M3" s="1" t="s">
        <v>46</v>
      </c>
    </row>
    <row r="4" spans="2:13" x14ac:dyDescent="0.2">
      <c r="B4" s="22">
        <v>1</v>
      </c>
      <c r="C4" s="22" t="s">
        <v>299</v>
      </c>
      <c r="D4" s="22">
        <f>IF(C4="Investigador",$J$4,IF(C4="Pasante",$J$5,IF(C4="Concurrente",$J$6,IF(C4="Tesista de posgrado",$J$7,0))))</f>
        <v>10</v>
      </c>
      <c r="E4" s="22" t="s">
        <v>308</v>
      </c>
      <c r="F4" s="22">
        <f>IF(E4="Director",$J$11,IF(E4="Codirector",$J$12,IF(E4="Evaluador",$J$13,0)))</f>
        <v>10</v>
      </c>
      <c r="G4" s="22">
        <f>D4+F4</f>
        <v>20</v>
      </c>
      <c r="I4" s="22" t="s">
        <v>299</v>
      </c>
      <c r="J4" s="22">
        <v>10</v>
      </c>
      <c r="L4" s="16" t="s">
        <v>16</v>
      </c>
      <c r="M4" s="16">
        <v>30</v>
      </c>
    </row>
    <row r="5" spans="2:13" x14ac:dyDescent="0.2">
      <c r="B5" s="22">
        <v>1</v>
      </c>
      <c r="C5" s="22" t="s">
        <v>299</v>
      </c>
      <c r="D5" s="22">
        <f t="shared" ref="D5:D7" si="0">IF(C5="Investigador",$J$4,IF(C5="Pasante",$J$5,IF(C5="Concurrente",$J$6,IF(C5="Tesista de posgrado",$J$7,0))))</f>
        <v>10</v>
      </c>
      <c r="E5" s="22" t="s">
        <v>308</v>
      </c>
      <c r="F5" s="22">
        <f t="shared" ref="F5:F7" si="1">IF(E5="Director",$J$11,IF(E5="Codirector",$J$12,IF(E5="Evaluador",$J$13,0)))</f>
        <v>10</v>
      </c>
      <c r="G5" s="22">
        <f t="shared" ref="G5:G7" si="2">D5+F5</f>
        <v>20</v>
      </c>
      <c r="I5" s="101" t="s">
        <v>298</v>
      </c>
      <c r="J5" s="22">
        <v>5</v>
      </c>
      <c r="L5" s="18" t="s">
        <v>20</v>
      </c>
      <c r="M5" s="18">
        <v>30</v>
      </c>
    </row>
    <row r="6" spans="2:13" x14ac:dyDescent="0.2">
      <c r="B6" s="22">
        <v>1</v>
      </c>
      <c r="C6" s="22" t="s">
        <v>299</v>
      </c>
      <c r="D6" s="22">
        <f t="shared" si="0"/>
        <v>10</v>
      </c>
      <c r="E6" s="22" t="s">
        <v>308</v>
      </c>
      <c r="F6" s="22">
        <f t="shared" si="1"/>
        <v>10</v>
      </c>
      <c r="G6" s="22">
        <f t="shared" si="2"/>
        <v>20</v>
      </c>
      <c r="I6" s="101" t="s">
        <v>300</v>
      </c>
      <c r="J6" s="22">
        <v>3</v>
      </c>
      <c r="L6" s="18" t="s">
        <v>21</v>
      </c>
      <c r="M6" s="18">
        <v>20</v>
      </c>
    </row>
    <row r="7" spans="2:13" x14ac:dyDescent="0.2">
      <c r="B7" s="22">
        <v>1</v>
      </c>
      <c r="C7" s="22" t="s">
        <v>305</v>
      </c>
      <c r="D7" s="22">
        <f t="shared" si="0"/>
        <v>10</v>
      </c>
      <c r="E7" s="22" t="s">
        <v>192</v>
      </c>
      <c r="F7" s="22">
        <f t="shared" si="1"/>
        <v>10</v>
      </c>
      <c r="G7" s="22">
        <f t="shared" si="2"/>
        <v>20</v>
      </c>
      <c r="I7" s="101" t="s">
        <v>301</v>
      </c>
      <c r="J7" s="22">
        <v>10</v>
      </c>
      <c r="L7" s="18" t="s">
        <v>22</v>
      </c>
      <c r="M7" s="18">
        <v>0</v>
      </c>
    </row>
    <row r="8" spans="2:13" x14ac:dyDescent="0.2">
      <c r="L8" s="18" t="s">
        <v>23</v>
      </c>
      <c r="M8" s="18">
        <v>0</v>
      </c>
    </row>
    <row r="9" spans="2:13" ht="18" x14ac:dyDescent="0.3">
      <c r="F9" s="37" t="s">
        <v>311</v>
      </c>
      <c r="G9" s="23">
        <f>SUM(G4:G7)</f>
        <v>80</v>
      </c>
      <c r="I9" s="30" t="s">
        <v>306</v>
      </c>
      <c r="L9" s="20" t="s">
        <v>25</v>
      </c>
      <c r="M9" s="20">
        <v>0</v>
      </c>
    </row>
    <row r="10" spans="2:13" ht="18" x14ac:dyDescent="0.3">
      <c r="F10" s="37" t="s">
        <v>312</v>
      </c>
      <c r="G10" s="22">
        <f>IF(AND(AI!$C$7="T",G9&lt;$M$4),0,IF(AND(AI!$C$7="T",G9&gt;$M$4),3,IF(AND(AI!$C$7="AS",G9&lt;$M$5),0,IF(AND(AI!$C$7="AS",G9&gt;$M$5),3,IF(AND(AI!$C$7="AJ",G9&lt;$M$6),0,IF(AND(AI!$C$7="AJ",G9&gt;$M$6),3,IF(AND(AI!$C$7="JTP",G9&lt;$M$7),0,IF(AND(AI!$C$7="JTP",G9&gt;$M$7),3,IF(AND(AI!$C$7="AY1",G9&lt;$M$8),0,IF(AND(AI!$C$7="AY1",G9&gt;$M$8),3,IF(AND(AI!$C$7="AY2",G9=0),0,IF(AND(AI!$C$7="AY2",G9&gt;1),3,1))))))))))))</f>
        <v>3</v>
      </c>
      <c r="I10" s="37" t="s">
        <v>307</v>
      </c>
      <c r="J10" s="37" t="s">
        <v>144</v>
      </c>
    </row>
    <row r="11" spans="2:13" ht="18" x14ac:dyDescent="0.3">
      <c r="D11" t="s">
        <v>127</v>
      </c>
      <c r="I11" s="22" t="s">
        <v>308</v>
      </c>
      <c r="J11" s="22">
        <v>10</v>
      </c>
      <c r="L11" s="38" t="s">
        <v>314</v>
      </c>
    </row>
    <row r="12" spans="2:13" ht="18" x14ac:dyDescent="0.3">
      <c r="B12" s="37" t="s">
        <v>59</v>
      </c>
      <c r="C12" s="37" t="s">
        <v>0</v>
      </c>
      <c r="D12" s="37" t="s">
        <v>303</v>
      </c>
      <c r="E12" s="37" t="s">
        <v>310</v>
      </c>
      <c r="F12" s="37" t="s">
        <v>304</v>
      </c>
      <c r="G12" s="37" t="s">
        <v>233</v>
      </c>
      <c r="I12" s="101" t="s">
        <v>309</v>
      </c>
      <c r="J12" s="22">
        <v>5</v>
      </c>
      <c r="L12" s="37" t="s">
        <v>103</v>
      </c>
      <c r="M12" s="37" t="s">
        <v>102</v>
      </c>
    </row>
    <row r="13" spans="2:13" x14ac:dyDescent="0.2">
      <c r="B13" s="22">
        <v>2</v>
      </c>
      <c r="C13" s="22" t="s">
        <v>299</v>
      </c>
      <c r="D13" s="22">
        <f>IF(C13="Investigador",$J$4,IF(C13="Pasante",$J$5,IF(C13="Concurrente",$J$6,IF(C13="Tesista de posgrado",$J$7,0))))</f>
        <v>10</v>
      </c>
      <c r="E13" s="22" t="s">
        <v>308</v>
      </c>
      <c r="F13" s="22">
        <f>IF(E13="Director",$J$11,IF(E13="Codirector",$J$12,IF(E13="Evaluador",$J$13,0)))</f>
        <v>10</v>
      </c>
      <c r="G13" s="22">
        <f>D13+F13</f>
        <v>20</v>
      </c>
      <c r="I13" s="101" t="s">
        <v>192</v>
      </c>
      <c r="J13" s="22">
        <v>10</v>
      </c>
      <c r="L13" s="22" t="s">
        <v>47</v>
      </c>
      <c r="M13" s="22">
        <v>0</v>
      </c>
    </row>
    <row r="14" spans="2:13" x14ac:dyDescent="0.2">
      <c r="B14" s="22">
        <v>2</v>
      </c>
      <c r="C14" s="22"/>
      <c r="D14" s="22">
        <f t="shared" ref="D14:D16" si="3">IF(C14="Investigador",$J$4,IF(C14="Pasante",$J$5,IF(C14="Concurrente",$J$6,IF(C14="Tesista de posgrado",$J$7,0))))</f>
        <v>0</v>
      </c>
      <c r="E14" s="22"/>
      <c r="F14" s="22">
        <f t="shared" ref="F14:F16" si="4">IF(E14="Director",$J$11,IF(E14="Codirector",$J$12,IF(E14="Evaluador",$J$13,0)))</f>
        <v>0</v>
      </c>
      <c r="G14" s="22">
        <f t="shared" ref="G14:G16" si="5">D14+F14</f>
        <v>0</v>
      </c>
      <c r="I14" s="102"/>
      <c r="J14" s="24"/>
      <c r="L14" s="22" t="s">
        <v>49</v>
      </c>
      <c r="M14" s="22">
        <v>1</v>
      </c>
    </row>
    <row r="15" spans="2:13" x14ac:dyDescent="0.2">
      <c r="B15" s="22">
        <v>2</v>
      </c>
      <c r="C15" s="22"/>
      <c r="D15" s="22">
        <f t="shared" si="3"/>
        <v>0</v>
      </c>
      <c r="E15" s="22"/>
      <c r="F15" s="22">
        <f t="shared" si="4"/>
        <v>0</v>
      </c>
      <c r="G15" s="22">
        <f t="shared" si="5"/>
        <v>0</v>
      </c>
      <c r="L15" s="22" t="s">
        <v>50</v>
      </c>
      <c r="M15" s="22">
        <v>3</v>
      </c>
    </row>
    <row r="16" spans="2:13" x14ac:dyDescent="0.2">
      <c r="B16" s="22">
        <v>2</v>
      </c>
      <c r="C16" s="22"/>
      <c r="D16" s="22">
        <f t="shared" si="3"/>
        <v>0</v>
      </c>
      <c r="E16" s="22"/>
      <c r="F16" s="22">
        <f t="shared" si="4"/>
        <v>0</v>
      </c>
      <c r="G16" s="22">
        <f t="shared" si="5"/>
        <v>0</v>
      </c>
    </row>
    <row r="18" spans="2:7" ht="18" x14ac:dyDescent="0.3">
      <c r="F18" s="37" t="s">
        <v>315</v>
      </c>
      <c r="G18" s="23">
        <f>SUM(G13:G16)</f>
        <v>20</v>
      </c>
    </row>
    <row r="19" spans="2:7" ht="18" x14ac:dyDescent="0.3">
      <c r="F19" s="37" t="s">
        <v>316</v>
      </c>
      <c r="G19" s="22">
        <f>IF(AND(AI!$C$7="T",G18&lt;$M$4),0,IF(AND(AI!$C$7="T",G18&gt;$M$4),3,IF(AND(AI!$C$7="AS",G18&lt;$M$5),0,IF(AND(AI!$C$7="AS",G18&gt;$M$5),3,IF(AND(AI!$C$7="AJ",G18&lt;$M$6),0,IF(AND(AI!$C$7="AJ",G18&gt;$M$6),3,IF(AND(AI!$C$7="JTP",G18&lt;$M$7),0,IF(AND(AI!$C$7="JTP",G18&gt;$M$7),3,IF(AND(AI!$C$7="AY1",G18&lt;$M$8),0,IF(AND(AI!$C$7="AY1",G18&gt;$M$8),3,IF(AND(AI!$C$7="AY2",G18=0),0,IF(AND(AI!$C$7="AY2",G18&gt;1),3,1))))))))))))</f>
        <v>1</v>
      </c>
    </row>
    <row r="21" spans="2:7" ht="18" x14ac:dyDescent="0.3">
      <c r="B21" s="37" t="s">
        <v>59</v>
      </c>
      <c r="C21" s="37" t="s">
        <v>0</v>
      </c>
      <c r="D21" s="37" t="s">
        <v>303</v>
      </c>
      <c r="E21" s="37" t="s">
        <v>310</v>
      </c>
      <c r="F21" s="37" t="s">
        <v>304</v>
      </c>
      <c r="G21" s="37" t="s">
        <v>233</v>
      </c>
    </row>
    <row r="22" spans="2:7" x14ac:dyDescent="0.2">
      <c r="B22" s="22">
        <v>3</v>
      </c>
      <c r="C22" s="22" t="s">
        <v>299</v>
      </c>
      <c r="D22" s="22">
        <f>IF(C22="Investigador",$J$4,IF(C22="Pasante",$J$5,IF(C22="Concurrente",$J$6,IF(C22="Tesista de posgrado",$J$7,0))))</f>
        <v>10</v>
      </c>
      <c r="E22" s="22" t="s">
        <v>308</v>
      </c>
      <c r="F22" s="22">
        <f>IF(E22="Director",$J$11,IF(E22="Codirector",$J$12,IF(E22="Evaluador",$J$13,0)))</f>
        <v>10</v>
      </c>
      <c r="G22" s="22">
        <f>D22+F22</f>
        <v>20</v>
      </c>
    </row>
    <row r="23" spans="2:7" x14ac:dyDescent="0.2">
      <c r="B23" s="22">
        <v>3</v>
      </c>
      <c r="C23" s="22"/>
      <c r="D23" s="22">
        <f t="shared" ref="D23:D25" si="6">IF(C23="Investigador",$J$4,IF(C23="Pasante",$J$5,IF(C23="Concurrente",$J$6,IF(C23="Tesista de posgrado",$J$7,0))))</f>
        <v>0</v>
      </c>
      <c r="E23" s="22" t="s">
        <v>308</v>
      </c>
      <c r="F23" s="22">
        <f t="shared" ref="F23:F25" si="7">IF(E23="Director",$J$11,IF(E23="Codirector",$J$12,IF(E23="Evaluador",$J$13,0)))</f>
        <v>10</v>
      </c>
      <c r="G23" s="22">
        <f t="shared" ref="G23:G25" si="8">D23+F23</f>
        <v>10</v>
      </c>
    </row>
    <row r="24" spans="2:7" x14ac:dyDescent="0.2">
      <c r="B24" s="22">
        <v>3</v>
      </c>
      <c r="C24" s="22"/>
      <c r="D24" s="22">
        <f t="shared" si="6"/>
        <v>0</v>
      </c>
      <c r="E24" s="22" t="s">
        <v>308</v>
      </c>
      <c r="F24" s="22">
        <f t="shared" si="7"/>
        <v>10</v>
      </c>
      <c r="G24" s="22">
        <f t="shared" si="8"/>
        <v>10</v>
      </c>
    </row>
    <row r="25" spans="2:7" x14ac:dyDescent="0.2">
      <c r="B25" s="22">
        <v>3</v>
      </c>
      <c r="C25" s="22" t="s">
        <v>305</v>
      </c>
      <c r="D25" s="22">
        <f t="shared" si="6"/>
        <v>10</v>
      </c>
      <c r="E25" s="22" t="s">
        <v>192</v>
      </c>
      <c r="F25" s="22">
        <f t="shared" si="7"/>
        <v>10</v>
      </c>
      <c r="G25" s="22">
        <f t="shared" si="8"/>
        <v>20</v>
      </c>
    </row>
    <row r="27" spans="2:7" ht="18" x14ac:dyDescent="0.3">
      <c r="F27" s="37" t="s">
        <v>317</v>
      </c>
      <c r="G27" s="23">
        <f>SUM(G22:G25)</f>
        <v>60</v>
      </c>
    </row>
    <row r="28" spans="2:7" ht="18" x14ac:dyDescent="0.3">
      <c r="F28" s="37" t="s">
        <v>318</v>
      </c>
      <c r="G28" s="22">
        <f>IF(AND(AI!$C$7="T",G27&lt;$M$4),0,IF(AND(AI!$C$7="T",G27&gt;$M$4),3,IF(AND(AI!$C$7="AS",G27&lt;$M$5),0,IF(AND(AI!$C$7="AS",G27&gt;$M$5),3,IF(AND(AI!$C$7="AJ",G27&lt;$M$6),0,IF(AND(AI!$C$7="AJ",G27&gt;$M$6),3,IF(AND(AI!$C$7="JTP",G27&lt;$M$7),0,IF(AND(AI!$C$7="JTP",G27&gt;$M$7),3,IF(AND(AI!$C$7="AY1",G27&lt;$M$8),0,IF(AND(AI!$C$7="AY1",G27&gt;$M$8),3,IF(AND(AI!$C$7="AY2",G27=0),0,IF(AND(AI!$C$7="AY2",G27&gt;1),3,1))))))))))))</f>
        <v>3</v>
      </c>
    </row>
    <row r="30" spans="2:7" ht="18" x14ac:dyDescent="0.3">
      <c r="B30" s="37" t="s">
        <v>59</v>
      </c>
      <c r="C30" s="37" t="s">
        <v>0</v>
      </c>
      <c r="D30" s="37" t="s">
        <v>303</v>
      </c>
      <c r="E30" s="37" t="s">
        <v>310</v>
      </c>
      <c r="F30" s="37" t="s">
        <v>304</v>
      </c>
      <c r="G30" s="37" t="s">
        <v>233</v>
      </c>
    </row>
    <row r="31" spans="2:7" x14ac:dyDescent="0.2">
      <c r="B31" s="22">
        <v>4</v>
      </c>
      <c r="C31" s="22" t="s">
        <v>299</v>
      </c>
      <c r="D31" s="22">
        <f>IF(C31="Investigador",$J$4,IF(C31="Pasante",$J$5,IF(C31="Concurrente",$J$6,IF(C31="Tesista de posgrado",$J$7,0))))</f>
        <v>10</v>
      </c>
      <c r="E31" s="22" t="s">
        <v>308</v>
      </c>
      <c r="F31" s="22">
        <f>IF(E31="Director",$J$11,IF(E31="Codirector",$J$12,IF(E31="Evaluador",$J$13,0)))</f>
        <v>10</v>
      </c>
      <c r="G31" s="22">
        <f>D31+F31</f>
        <v>20</v>
      </c>
    </row>
    <row r="32" spans="2:7" x14ac:dyDescent="0.2">
      <c r="B32" s="22">
        <v>4</v>
      </c>
      <c r="C32" s="22" t="s">
        <v>299</v>
      </c>
      <c r="D32" s="22">
        <f t="shared" ref="D32:D34" si="9">IF(C32="Investigador",$J$4,IF(C32="Pasante",$J$5,IF(C32="Concurrente",$J$6,IF(C32="Tesista de posgrado",$J$7,0))))</f>
        <v>10</v>
      </c>
      <c r="E32" s="22" t="s">
        <v>308</v>
      </c>
      <c r="F32" s="22">
        <f t="shared" ref="F32:F34" si="10">IF(E32="Director",$J$11,IF(E32="Codirector",$J$12,IF(E32="Evaluador",$J$13,0)))</f>
        <v>10</v>
      </c>
      <c r="G32" s="22">
        <f t="shared" ref="G32:G34" si="11">D32+F32</f>
        <v>20</v>
      </c>
    </row>
    <row r="33" spans="2:7" x14ac:dyDescent="0.2">
      <c r="B33" s="22">
        <v>4</v>
      </c>
      <c r="C33" s="22" t="s">
        <v>299</v>
      </c>
      <c r="D33" s="22">
        <f t="shared" si="9"/>
        <v>10</v>
      </c>
      <c r="E33" s="22" t="s">
        <v>308</v>
      </c>
      <c r="F33" s="22">
        <f t="shared" si="10"/>
        <v>10</v>
      </c>
      <c r="G33" s="22">
        <f t="shared" si="11"/>
        <v>20</v>
      </c>
    </row>
    <row r="34" spans="2:7" x14ac:dyDescent="0.2">
      <c r="B34" s="22">
        <v>4</v>
      </c>
      <c r="C34" s="22" t="s">
        <v>305</v>
      </c>
      <c r="D34" s="22">
        <f t="shared" si="9"/>
        <v>10</v>
      </c>
      <c r="E34" s="22" t="s">
        <v>192</v>
      </c>
      <c r="F34" s="22">
        <f t="shared" si="10"/>
        <v>10</v>
      </c>
      <c r="G34" s="22">
        <f t="shared" si="11"/>
        <v>20</v>
      </c>
    </row>
    <row r="36" spans="2:7" ht="18" x14ac:dyDescent="0.3">
      <c r="F36" s="37" t="s">
        <v>319</v>
      </c>
      <c r="G36" s="23">
        <f>SUM(G31:G34)</f>
        <v>80</v>
      </c>
    </row>
    <row r="37" spans="2:7" ht="18" x14ac:dyDescent="0.3">
      <c r="F37" s="37" t="s">
        <v>320</v>
      </c>
      <c r="G37" s="22">
        <f>IF(AND(AI!$C$7="T",G36&lt;$M$4),0,IF(AND(AI!$C$7="T",G36&gt;$M$4),3,IF(AND(AI!$C$7="AS",G36&lt;$M$5),0,IF(AND(AI!$C$7="AS",G36&gt;$M$5),3,IF(AND(AI!$C$7="AJ",G36&lt;$M$6),0,IF(AND(AI!$C$7="AJ",G36&gt;$M$6),3,IF(AND(AI!$C$7="JTP",G36&lt;$M$7),0,IF(AND(AI!$C$7="JTP",G36&gt;$M$7),3,IF(AND(AI!$C$7="AY1",G36&lt;$M$8),0,IF(AND(AI!$C$7="AY1",G36&gt;$M$8),3,IF(AND(AI!$C$7="AY2",G36=0),0,IF(AND(AI!$C$7="AY2",G36&gt;1),3,1))))))))))))</f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52"/>
  <sheetViews>
    <sheetView topLeftCell="P1" workbookViewId="0">
      <selection activeCell="AB13" sqref="AB13"/>
    </sheetView>
  </sheetViews>
  <sheetFormatPr baseColWidth="10" defaultRowHeight="15" x14ac:dyDescent="0.2"/>
  <cols>
    <col min="1" max="1" width="1.5546875" customWidth="1"/>
    <col min="2" max="2" width="5.77734375" customWidth="1"/>
    <col min="3" max="3" width="16" customWidth="1"/>
    <col min="5" max="5" width="19.88671875" customWidth="1"/>
    <col min="6" max="6" width="9.6640625" customWidth="1"/>
    <col min="7" max="7" width="5.44140625" customWidth="1"/>
    <col min="8" max="8" width="5.5546875" customWidth="1"/>
    <col min="9" max="10" width="5.44140625" customWidth="1"/>
    <col min="11" max="11" width="5.5546875" customWidth="1"/>
    <col min="12" max="12" width="9.44140625" customWidth="1"/>
    <col min="13" max="13" width="10.5546875" customWidth="1"/>
    <col min="14" max="14" width="6" customWidth="1"/>
    <col min="15" max="15" width="9.33203125" customWidth="1"/>
    <col min="16" max="16" width="8" customWidth="1"/>
    <col min="18" max="18" width="10.77734375" customWidth="1"/>
    <col min="19" max="19" width="5.88671875" customWidth="1"/>
    <col min="20" max="20" width="12" customWidth="1"/>
    <col min="21" max="21" width="8.6640625" customWidth="1"/>
    <col min="22" max="22" width="8.44140625" customWidth="1"/>
    <col min="23" max="23" width="8.77734375" customWidth="1"/>
    <col min="24" max="24" width="9.77734375" customWidth="1"/>
    <col min="25" max="25" width="10.21875" customWidth="1"/>
    <col min="26" max="26" width="11.109375" customWidth="1"/>
    <col min="27" max="29" width="8.5546875" customWidth="1"/>
    <col min="30" max="30" width="16.109375" customWidth="1"/>
    <col min="31" max="31" width="34.109375" customWidth="1"/>
    <col min="32" max="32" width="25" customWidth="1"/>
    <col min="33" max="33" width="22.33203125" customWidth="1"/>
  </cols>
  <sheetData>
    <row r="2" spans="2:31" ht="18" x14ac:dyDescent="0.3">
      <c r="B2" s="30" t="s">
        <v>150</v>
      </c>
    </row>
    <row r="3" spans="2:31" ht="18.75" x14ac:dyDescent="0.3">
      <c r="B3" s="25" t="s">
        <v>59</v>
      </c>
      <c r="C3" s="62" t="s">
        <v>116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62" t="s">
        <v>122</v>
      </c>
      <c r="P3" s="63"/>
      <c r="Q3" s="63"/>
      <c r="R3" s="63"/>
      <c r="S3" s="64"/>
      <c r="T3" s="2" t="s">
        <v>115</v>
      </c>
      <c r="U3" s="4"/>
      <c r="V3" s="4"/>
      <c r="W3" s="4"/>
      <c r="X3" s="4"/>
      <c r="Y3" s="4"/>
      <c r="Z3" s="4"/>
      <c r="AA3" s="3"/>
      <c r="AB3" s="54"/>
      <c r="AD3" t="s">
        <v>322</v>
      </c>
    </row>
    <row r="4" spans="2:31" x14ac:dyDescent="0.2">
      <c r="B4" s="7"/>
      <c r="C4" s="1" t="s">
        <v>119</v>
      </c>
      <c r="D4" s="57" t="s">
        <v>104</v>
      </c>
      <c r="E4" s="1" t="s">
        <v>112</v>
      </c>
      <c r="F4" s="61"/>
      <c r="G4" s="2" t="s">
        <v>105</v>
      </c>
      <c r="H4" s="4"/>
      <c r="I4" s="4"/>
      <c r="J4" s="3"/>
      <c r="K4" s="3"/>
      <c r="L4" s="2" t="s">
        <v>110</v>
      </c>
      <c r="M4" s="3"/>
      <c r="N4" s="26"/>
      <c r="O4" s="5" t="s">
        <v>123</v>
      </c>
      <c r="P4" s="5" t="s">
        <v>104</v>
      </c>
      <c r="Q4" s="5" t="s">
        <v>112</v>
      </c>
      <c r="R4" s="5" t="s">
        <v>120</v>
      </c>
      <c r="S4" s="6"/>
      <c r="T4" s="5" t="s">
        <v>117</v>
      </c>
      <c r="U4" s="5" t="s">
        <v>128</v>
      </c>
      <c r="V4" s="2" t="s">
        <v>131</v>
      </c>
      <c r="W4" s="5" t="s">
        <v>127</v>
      </c>
      <c r="X4" s="5" t="s">
        <v>104</v>
      </c>
      <c r="Y4" s="5" t="s">
        <v>129</v>
      </c>
      <c r="Z4" s="5" t="s">
        <v>130</v>
      </c>
      <c r="AA4" s="55"/>
      <c r="AB4" s="66"/>
      <c r="AD4" s="1" t="s">
        <v>0</v>
      </c>
      <c r="AE4" s="1" t="s">
        <v>46</v>
      </c>
    </row>
    <row r="5" spans="2:31" x14ac:dyDescent="0.2">
      <c r="B5" s="58"/>
      <c r="C5" s="58"/>
      <c r="D5" s="59"/>
      <c r="E5" s="15" t="s">
        <v>113</v>
      </c>
      <c r="F5" s="15" t="s">
        <v>120</v>
      </c>
      <c r="G5" s="37" t="s">
        <v>106</v>
      </c>
      <c r="H5" s="37" t="s">
        <v>107</v>
      </c>
      <c r="I5" s="37" t="s">
        <v>108</v>
      </c>
      <c r="J5" s="37" t="s">
        <v>109</v>
      </c>
      <c r="K5" s="37" t="s">
        <v>114</v>
      </c>
      <c r="L5" s="37" t="s">
        <v>111</v>
      </c>
      <c r="M5" s="37" t="s">
        <v>121</v>
      </c>
      <c r="N5" s="60" t="s">
        <v>125</v>
      </c>
      <c r="O5" s="44" t="s">
        <v>124</v>
      </c>
      <c r="P5" s="44" t="s">
        <v>127</v>
      </c>
      <c r="Q5" s="44" t="s">
        <v>113</v>
      </c>
      <c r="R5" s="44" t="s">
        <v>127</v>
      </c>
      <c r="S5" s="15" t="s">
        <v>126</v>
      </c>
      <c r="T5" s="44" t="s">
        <v>118</v>
      </c>
      <c r="U5" s="65" t="s">
        <v>127</v>
      </c>
      <c r="V5" s="44" t="s">
        <v>127</v>
      </c>
      <c r="W5" s="44" t="s">
        <v>132</v>
      </c>
      <c r="X5" s="56"/>
      <c r="Y5" s="44" t="s">
        <v>120</v>
      </c>
      <c r="Z5" s="56"/>
      <c r="AA5" s="44" t="s">
        <v>133</v>
      </c>
      <c r="AB5" s="66" t="s">
        <v>155</v>
      </c>
      <c r="AD5" s="16" t="s">
        <v>106</v>
      </c>
      <c r="AE5" s="16">
        <v>30</v>
      </c>
    </row>
    <row r="6" spans="2:31" x14ac:dyDescent="0.2">
      <c r="B6" s="22">
        <v>1</v>
      </c>
      <c r="C6" s="22" t="s">
        <v>134</v>
      </c>
      <c r="D6" s="22" t="s">
        <v>135</v>
      </c>
      <c r="E6" s="22" t="s">
        <v>136</v>
      </c>
      <c r="F6" s="22" t="s">
        <v>137</v>
      </c>
      <c r="G6" s="22">
        <v>0</v>
      </c>
      <c r="H6" s="22">
        <v>1</v>
      </c>
      <c r="I6" s="22">
        <v>0</v>
      </c>
      <c r="J6" s="22">
        <v>0</v>
      </c>
      <c r="K6" s="22">
        <v>14</v>
      </c>
      <c r="L6" s="22">
        <v>1</v>
      </c>
      <c r="M6" s="22">
        <v>0</v>
      </c>
      <c r="N6" s="22">
        <f>G6*$AE$5+H6*$AE$6+I6*$AE$7+J6*$AE$8+K6</f>
        <v>34</v>
      </c>
      <c r="O6" s="22">
        <v>0</v>
      </c>
      <c r="P6" s="22">
        <v>0</v>
      </c>
      <c r="Q6" s="22">
        <v>0</v>
      </c>
      <c r="R6" s="22">
        <v>0</v>
      </c>
      <c r="S6" s="22">
        <f>IF(O6=0,0,10)</f>
        <v>0</v>
      </c>
      <c r="T6" s="22">
        <v>0</v>
      </c>
      <c r="U6" s="22">
        <v>0</v>
      </c>
      <c r="V6" s="22">
        <v>0</v>
      </c>
      <c r="W6" s="22"/>
      <c r="X6" s="22">
        <v>0</v>
      </c>
      <c r="Y6" s="22">
        <v>0</v>
      </c>
      <c r="Z6" s="22">
        <v>0</v>
      </c>
      <c r="AA6" s="22">
        <f>U6*$AE$13+V6*$AE$14</f>
        <v>0</v>
      </c>
      <c r="AB6" s="22">
        <f>AA6+S6+N6</f>
        <v>34</v>
      </c>
      <c r="AD6" s="18" t="s">
        <v>107</v>
      </c>
      <c r="AE6" s="18">
        <v>20</v>
      </c>
    </row>
    <row r="7" spans="2:31" x14ac:dyDescent="0.2">
      <c r="B7" s="22">
        <v>1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f>G7*$AE$5+H7*$AE$6+I7*$AE$7+J7*$AE$8+K7</f>
        <v>0</v>
      </c>
      <c r="O7" s="22" t="s">
        <v>138</v>
      </c>
      <c r="P7" s="22" t="s">
        <v>139</v>
      </c>
      <c r="Q7" s="22" t="s">
        <v>140</v>
      </c>
      <c r="R7" s="22" t="s">
        <v>141</v>
      </c>
      <c r="S7" s="22">
        <f t="shared" ref="S7:S10" si="0">IF(O7=0,0,10)</f>
        <v>10</v>
      </c>
      <c r="T7" s="22">
        <v>0</v>
      </c>
      <c r="U7" s="22">
        <v>0</v>
      </c>
      <c r="V7" s="22">
        <v>0</v>
      </c>
      <c r="W7" s="22"/>
      <c r="X7" s="22">
        <v>0</v>
      </c>
      <c r="Y7" s="22">
        <v>0</v>
      </c>
      <c r="Z7" s="22">
        <v>0</v>
      </c>
      <c r="AA7" s="22">
        <f>U7*$AE$13+V7*$AE$14</f>
        <v>0</v>
      </c>
      <c r="AB7" s="22">
        <f t="shared" ref="AB7:AB10" si="1">AA7+S7+N7</f>
        <v>10</v>
      </c>
      <c r="AD7" s="18" t="s">
        <v>108</v>
      </c>
      <c r="AE7" s="18">
        <v>10</v>
      </c>
    </row>
    <row r="8" spans="2:31" x14ac:dyDescent="0.2">
      <c r="B8" s="22">
        <v>1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f>G8*$AE$5+H8*$AE$6+I8*$AE$7+J8*$AE$8+K8</f>
        <v>0</v>
      </c>
      <c r="O8" s="22">
        <v>0</v>
      </c>
      <c r="P8" s="22">
        <v>0</v>
      </c>
      <c r="Q8" s="22">
        <v>0</v>
      </c>
      <c r="R8" s="22">
        <v>0</v>
      </c>
      <c r="S8" s="22">
        <f t="shared" si="0"/>
        <v>0</v>
      </c>
      <c r="T8" s="42" t="s">
        <v>142</v>
      </c>
      <c r="U8" s="22">
        <v>0</v>
      </c>
      <c r="V8" s="22">
        <v>1</v>
      </c>
      <c r="W8" s="22" t="s">
        <v>145</v>
      </c>
      <c r="X8" s="22" t="s">
        <v>143</v>
      </c>
      <c r="Y8" s="22">
        <v>1</v>
      </c>
      <c r="Z8" s="22">
        <v>0</v>
      </c>
      <c r="AA8" s="22">
        <f>U8*$AE$13+V8*$AE$14</f>
        <v>20</v>
      </c>
      <c r="AB8" s="22">
        <f t="shared" si="1"/>
        <v>20</v>
      </c>
      <c r="AD8" s="18" t="s">
        <v>109</v>
      </c>
      <c r="AE8" s="18">
        <v>5</v>
      </c>
    </row>
    <row r="9" spans="2:31" x14ac:dyDescent="0.2">
      <c r="B9" s="22">
        <v>1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f>G9*$AE$5+H9*$AE$6+I9*$AE$7+J9*$AE$8+K9</f>
        <v>0</v>
      </c>
      <c r="O9" s="22">
        <v>0</v>
      </c>
      <c r="P9" s="22">
        <v>0</v>
      </c>
      <c r="Q9" s="22">
        <v>0</v>
      </c>
      <c r="R9" s="22">
        <v>0</v>
      </c>
      <c r="S9" s="22">
        <f t="shared" si="0"/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f>U9*$AE$13+V9*$AE$14</f>
        <v>0</v>
      </c>
      <c r="AB9" s="22">
        <f t="shared" si="1"/>
        <v>0</v>
      </c>
      <c r="AD9" s="24"/>
      <c r="AE9" s="24"/>
    </row>
    <row r="10" spans="2:31" x14ac:dyDescent="0.2">
      <c r="B10" s="22">
        <v>1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f>G10*$AE$5+H10*$AE$6+I10*$AE$7+J10*$AE$8+K10</f>
        <v>0</v>
      </c>
      <c r="O10" s="22">
        <v>0</v>
      </c>
      <c r="P10" s="22">
        <v>0</v>
      </c>
      <c r="Q10" s="22">
        <v>0</v>
      </c>
      <c r="R10" s="22">
        <v>0</v>
      </c>
      <c r="S10" s="22">
        <f t="shared" si="0"/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f>U10*$AE$13+V10*$AE$14</f>
        <v>0</v>
      </c>
      <c r="AB10" s="22">
        <f t="shared" si="1"/>
        <v>0</v>
      </c>
      <c r="AD10" s="33"/>
      <c r="AE10" s="33"/>
    </row>
    <row r="11" spans="2:31" x14ac:dyDescent="0.2">
      <c r="AD11" t="s">
        <v>323</v>
      </c>
      <c r="AE11" s="33"/>
    </row>
    <row r="12" spans="2:31" ht="18" x14ac:dyDescent="0.3">
      <c r="AA12" s="37" t="s">
        <v>234</v>
      </c>
      <c r="AB12" s="34">
        <f>SUM(AB6:AB8)</f>
        <v>64</v>
      </c>
      <c r="AD12" s="37" t="s">
        <v>118</v>
      </c>
      <c r="AE12" s="37" t="s">
        <v>144</v>
      </c>
    </row>
    <row r="13" spans="2:31" ht="18" x14ac:dyDescent="0.3">
      <c r="AA13" s="37" t="s">
        <v>151</v>
      </c>
      <c r="AB13" s="22">
        <f>IF(AND(AI!$C$7="T",AB12&lt;$AE$19),0,IF(AND(AI!$C$7="T",AB12&gt;$AE$19),3,IF(AND(AI!$C$7="AS",AB12&lt;$AE$20),0,IF(AND(AI!$C$7="AS",AB12&gt;$AE$20),3,IF(AND(AI!$C$7="AJ",AB12&lt;$AE$19),0,IF(AND(AI!$C$7="AJ",AB12&gt;$AE$19),3,IF(AND(AI!$C$7="JTP",AB12&lt;$AE$21),0,IF(AND(AI!$C$7="JTP",AB12&gt;$AE$21),3,IF(AND(AI!$C$7="AY1",AB12&lt;$AE$22),0,IF(AND(AI!$C$7="AY1",AB12&gt;$AE$22),3,IF(AND(AI!$C$7="AY2",AB12=0),0,IF(AND(AI!$C$7="AY2",AB12&gt;1),3,1))))))))))))</f>
        <v>3</v>
      </c>
      <c r="AD13" s="29" t="s">
        <v>128</v>
      </c>
      <c r="AE13" s="29">
        <v>50</v>
      </c>
    </row>
    <row r="14" spans="2:31" x14ac:dyDescent="0.2">
      <c r="AD14" s="34" t="s">
        <v>131</v>
      </c>
      <c r="AE14" s="34">
        <v>20</v>
      </c>
    </row>
    <row r="15" spans="2:31" ht="18.75" x14ac:dyDescent="0.3">
      <c r="B15" s="25" t="s">
        <v>59</v>
      </c>
      <c r="C15" s="62" t="s">
        <v>116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4"/>
      <c r="O15" s="62" t="s">
        <v>122</v>
      </c>
      <c r="P15" s="63"/>
      <c r="Q15" s="63"/>
      <c r="R15" s="63"/>
      <c r="S15" s="64"/>
      <c r="T15" s="2" t="s">
        <v>115</v>
      </c>
      <c r="U15" s="4"/>
      <c r="V15" s="4"/>
      <c r="W15" s="4"/>
      <c r="X15" s="4"/>
      <c r="Y15" s="4"/>
      <c r="Z15" s="4"/>
      <c r="AA15" s="3"/>
      <c r="AB15" s="54"/>
    </row>
    <row r="16" spans="2:31" x14ac:dyDescent="0.2">
      <c r="B16" s="7"/>
      <c r="C16" s="1" t="s">
        <v>119</v>
      </c>
      <c r="D16" s="57" t="s">
        <v>104</v>
      </c>
      <c r="E16" s="1" t="s">
        <v>112</v>
      </c>
      <c r="F16" s="61"/>
      <c r="G16" s="2" t="s">
        <v>105</v>
      </c>
      <c r="H16" s="4"/>
      <c r="I16" s="4"/>
      <c r="J16" s="3"/>
      <c r="K16" s="3"/>
      <c r="L16" s="2" t="s">
        <v>110</v>
      </c>
      <c r="M16" s="3"/>
      <c r="N16" s="26"/>
      <c r="O16" s="5" t="s">
        <v>123</v>
      </c>
      <c r="P16" s="5" t="s">
        <v>104</v>
      </c>
      <c r="Q16" s="5" t="s">
        <v>112</v>
      </c>
      <c r="R16" s="5" t="s">
        <v>120</v>
      </c>
      <c r="S16" s="6"/>
      <c r="T16" s="5" t="s">
        <v>117</v>
      </c>
      <c r="U16" s="5" t="s">
        <v>128</v>
      </c>
      <c r="V16" s="2" t="s">
        <v>131</v>
      </c>
      <c r="W16" s="5" t="s">
        <v>127</v>
      </c>
      <c r="X16" s="5" t="s">
        <v>104</v>
      </c>
      <c r="Y16" s="5" t="s">
        <v>129</v>
      </c>
      <c r="Z16" s="5" t="s">
        <v>130</v>
      </c>
      <c r="AA16" s="55"/>
      <c r="AB16" s="66"/>
    </row>
    <row r="17" spans="2:31" ht="19.5" x14ac:dyDescent="0.35">
      <c r="B17" s="58"/>
      <c r="C17" s="58"/>
      <c r="D17" s="59"/>
      <c r="E17" s="15" t="s">
        <v>113</v>
      </c>
      <c r="F17" s="15" t="s">
        <v>120</v>
      </c>
      <c r="G17" s="37" t="s">
        <v>106</v>
      </c>
      <c r="H17" s="37" t="s">
        <v>107</v>
      </c>
      <c r="I17" s="37" t="s">
        <v>108</v>
      </c>
      <c r="J17" s="37" t="s">
        <v>109</v>
      </c>
      <c r="K17" s="37" t="s">
        <v>114</v>
      </c>
      <c r="L17" s="37" t="s">
        <v>111</v>
      </c>
      <c r="M17" s="37" t="s">
        <v>121</v>
      </c>
      <c r="N17" s="60" t="s">
        <v>125</v>
      </c>
      <c r="O17" s="44" t="s">
        <v>124</v>
      </c>
      <c r="P17" s="44" t="s">
        <v>127</v>
      </c>
      <c r="Q17" s="44" t="s">
        <v>113</v>
      </c>
      <c r="R17" s="44" t="s">
        <v>127</v>
      </c>
      <c r="S17" s="15" t="s">
        <v>126</v>
      </c>
      <c r="T17" s="44" t="s">
        <v>118</v>
      </c>
      <c r="U17" s="65" t="s">
        <v>127</v>
      </c>
      <c r="V17" s="44" t="s">
        <v>127</v>
      </c>
      <c r="W17" s="44" t="s">
        <v>132</v>
      </c>
      <c r="X17" s="56"/>
      <c r="Y17" s="44" t="s">
        <v>120</v>
      </c>
      <c r="Z17" s="56"/>
      <c r="AA17" s="44" t="s">
        <v>133</v>
      </c>
      <c r="AB17" s="66" t="s">
        <v>155</v>
      </c>
      <c r="AD17" t="s">
        <v>268</v>
      </c>
    </row>
    <row r="18" spans="2:31" x14ac:dyDescent="0.2">
      <c r="B18" s="22">
        <v>2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1</v>
      </c>
      <c r="M18" s="22">
        <v>0</v>
      </c>
      <c r="N18" s="22">
        <f>G18*$AE$5+H18*$AE$6+I18*$AE$7+J18*$AE$8+K18</f>
        <v>0</v>
      </c>
      <c r="O18" s="22">
        <v>0</v>
      </c>
      <c r="P18" s="22">
        <v>0</v>
      </c>
      <c r="Q18" s="22">
        <v>0</v>
      </c>
      <c r="R18" s="22">
        <v>0</v>
      </c>
      <c r="S18" s="22">
        <f>IF(O18=0,0,10)</f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f>U18*$AE$13+V18*$AE$14</f>
        <v>0</v>
      </c>
      <c r="AB18" s="22">
        <f>AA18+S18+N18</f>
        <v>0</v>
      </c>
      <c r="AD18" s="1" t="s">
        <v>0</v>
      </c>
      <c r="AE18" s="1" t="s">
        <v>46</v>
      </c>
    </row>
    <row r="19" spans="2:31" x14ac:dyDescent="0.2">
      <c r="B19" s="22">
        <v>2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f>G19*$AE$5+H19*$AE$6+I19*$AE$7+J19*$AE$8+K19</f>
        <v>0</v>
      </c>
      <c r="O19" s="22" t="s">
        <v>147</v>
      </c>
      <c r="P19" s="22" t="s">
        <v>139</v>
      </c>
      <c r="Q19" s="22" t="s">
        <v>140</v>
      </c>
      <c r="R19" s="22" t="s">
        <v>148</v>
      </c>
      <c r="S19" s="22">
        <f t="shared" ref="S19:S22" si="2">IF(O19=0,0,10)</f>
        <v>10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f>U19*$AE$13+V19*$AE$14</f>
        <v>0</v>
      </c>
      <c r="AB19" s="22">
        <f t="shared" ref="AB19:AB22" si="3">AA19+S19+N19</f>
        <v>10</v>
      </c>
      <c r="AD19" s="16" t="s">
        <v>16</v>
      </c>
      <c r="AE19" s="16">
        <v>20</v>
      </c>
    </row>
    <row r="20" spans="2:31" x14ac:dyDescent="0.2">
      <c r="B20" s="22">
        <v>2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f>G20*$AE$5+H20*$AE$6+I20*$AE$7+J20*$AE$8+K20</f>
        <v>0</v>
      </c>
      <c r="O20" s="22">
        <v>0</v>
      </c>
      <c r="P20" s="22">
        <v>0</v>
      </c>
      <c r="Q20" s="22">
        <v>0</v>
      </c>
      <c r="R20" s="22">
        <v>0</v>
      </c>
      <c r="S20" s="22">
        <f t="shared" si="2"/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 t="s">
        <v>146</v>
      </c>
      <c r="Z20" s="22">
        <v>0</v>
      </c>
      <c r="AA20" s="22">
        <f>U20*$AE$13+V20*$AE$14</f>
        <v>0</v>
      </c>
      <c r="AB20" s="22">
        <f t="shared" si="3"/>
        <v>0</v>
      </c>
      <c r="AD20" s="18" t="s">
        <v>20</v>
      </c>
      <c r="AE20" s="18">
        <v>20</v>
      </c>
    </row>
    <row r="21" spans="2:31" x14ac:dyDescent="0.2">
      <c r="B21" s="22">
        <v>2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f>G21*$AE$5+H21*$AE$6+I21*$AE$7+J21*$AE$8+K21</f>
        <v>0</v>
      </c>
      <c r="O21" s="22">
        <v>0</v>
      </c>
      <c r="P21" s="22">
        <v>0</v>
      </c>
      <c r="Q21" s="22">
        <v>0</v>
      </c>
      <c r="R21" s="22">
        <v>0</v>
      </c>
      <c r="S21" s="22">
        <f t="shared" si="2"/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f>U21*$AE$13+V21*$AE$14</f>
        <v>0</v>
      </c>
      <c r="AB21" s="22">
        <f t="shared" si="3"/>
        <v>0</v>
      </c>
      <c r="AD21" s="18" t="s">
        <v>21</v>
      </c>
      <c r="AE21" s="18">
        <v>10</v>
      </c>
    </row>
    <row r="22" spans="2:31" x14ac:dyDescent="0.2">
      <c r="B22" s="22">
        <v>2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f>G22*$AE$5+H22*$AE$6+I22*$AE$7+J22*$AE$8+K22</f>
        <v>0</v>
      </c>
      <c r="O22" s="22">
        <v>0</v>
      </c>
      <c r="P22" s="22">
        <v>0</v>
      </c>
      <c r="Q22" s="22">
        <v>0</v>
      </c>
      <c r="R22" s="22">
        <v>0</v>
      </c>
      <c r="S22" s="22">
        <f t="shared" si="2"/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f>U22*$AE$13+V22*$AE$14</f>
        <v>0</v>
      </c>
      <c r="AB22" s="22">
        <f t="shared" si="3"/>
        <v>0</v>
      </c>
      <c r="AD22" s="18" t="s">
        <v>22</v>
      </c>
      <c r="AE22" s="18">
        <v>5</v>
      </c>
    </row>
    <row r="23" spans="2:31" x14ac:dyDescent="0.2">
      <c r="AD23" s="18" t="s">
        <v>23</v>
      </c>
      <c r="AE23" s="18">
        <v>0</v>
      </c>
    </row>
    <row r="24" spans="2:31" ht="18" x14ac:dyDescent="0.3">
      <c r="AA24" s="37" t="s">
        <v>235</v>
      </c>
      <c r="AB24" s="34">
        <f>SUM(AB18:AB20)</f>
        <v>10</v>
      </c>
      <c r="AD24" s="20" t="s">
        <v>25</v>
      </c>
      <c r="AE24" s="20">
        <v>0</v>
      </c>
    </row>
    <row r="25" spans="2:31" ht="18" x14ac:dyDescent="0.3">
      <c r="AA25" s="37" t="s">
        <v>152</v>
      </c>
      <c r="AB25" s="22">
        <f>IF(AND(AI!$C$7="T",AB24&lt;$AE$19),0,IF(AND(AI!$C$7="T",AB24&gt;$AE$19),3,IF(AND(AI!$C$7="AS",AB24&lt;$AE$20),0,IF(AND(AI!$C$7="AS",AB24&gt;$AE$20),3,IF(AND(AI!$C$7="AJ",AB24&lt;$AE$19),0,IF(AND(AI!$C$7="AJ",AB24&gt;$AE$19),3,IF(AND(AI!$C$7="JTP",AB24&lt;$AE$21),0,IF(AND(AI!$C$7="JTP",AB24&gt;$AE$21),3,IF(AND(AI!$C$7="AY1",AB24&lt;$AE$22),0,IF(AND(AI!$C$7="AY1",AB24&gt;$AE$22),3,IF(AND(AI!$C$7="AY2",AB24=0),0,IF(AND(AI!$C$7="AY2",AB24&gt;1),3,1))))))))))))</f>
        <v>0</v>
      </c>
    </row>
    <row r="26" spans="2:31" ht="18" x14ac:dyDescent="0.3">
      <c r="AD26" s="38" t="s">
        <v>269</v>
      </c>
    </row>
    <row r="27" spans="2:31" ht="18" x14ac:dyDescent="0.3">
      <c r="AD27" s="37" t="s">
        <v>238</v>
      </c>
      <c r="AE27" s="37" t="s">
        <v>239</v>
      </c>
    </row>
    <row r="28" spans="2:31" ht="18.75" x14ac:dyDescent="0.3">
      <c r="B28" s="25" t="s">
        <v>59</v>
      </c>
      <c r="C28" s="62" t="s">
        <v>116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4"/>
      <c r="O28" s="62" t="s">
        <v>122</v>
      </c>
      <c r="P28" s="63"/>
      <c r="Q28" s="63"/>
      <c r="R28" s="63"/>
      <c r="S28" s="64"/>
      <c r="T28" s="2" t="s">
        <v>115</v>
      </c>
      <c r="U28" s="4"/>
      <c r="V28" s="4"/>
      <c r="W28" s="4"/>
      <c r="X28" s="4"/>
      <c r="Y28" s="4"/>
      <c r="Z28" s="4"/>
      <c r="AA28" s="3"/>
      <c r="AB28" s="54"/>
      <c r="AD28" s="22" t="s">
        <v>47</v>
      </c>
      <c r="AE28" s="22">
        <v>0</v>
      </c>
    </row>
    <row r="29" spans="2:31" x14ac:dyDescent="0.2">
      <c r="B29" s="7"/>
      <c r="C29" s="1" t="s">
        <v>119</v>
      </c>
      <c r="D29" s="57" t="s">
        <v>104</v>
      </c>
      <c r="E29" s="1" t="s">
        <v>112</v>
      </c>
      <c r="F29" s="61"/>
      <c r="G29" s="2" t="s">
        <v>105</v>
      </c>
      <c r="H29" s="4"/>
      <c r="I29" s="4"/>
      <c r="J29" s="3"/>
      <c r="K29" s="3"/>
      <c r="L29" s="2" t="s">
        <v>110</v>
      </c>
      <c r="M29" s="3"/>
      <c r="N29" s="26"/>
      <c r="O29" s="5" t="s">
        <v>123</v>
      </c>
      <c r="P29" s="5" t="s">
        <v>104</v>
      </c>
      <c r="Q29" s="5" t="s">
        <v>112</v>
      </c>
      <c r="R29" s="5" t="s">
        <v>120</v>
      </c>
      <c r="S29" s="6"/>
      <c r="T29" s="5" t="s">
        <v>117</v>
      </c>
      <c r="U29" s="5" t="s">
        <v>128</v>
      </c>
      <c r="V29" s="2" t="s">
        <v>131</v>
      </c>
      <c r="W29" s="5" t="s">
        <v>127</v>
      </c>
      <c r="X29" s="5" t="s">
        <v>104</v>
      </c>
      <c r="Y29" s="5" t="s">
        <v>129</v>
      </c>
      <c r="Z29" s="5" t="s">
        <v>130</v>
      </c>
      <c r="AA29" s="55"/>
      <c r="AB29" s="66"/>
      <c r="AD29" s="22" t="s">
        <v>49</v>
      </c>
      <c r="AE29" s="22">
        <v>1</v>
      </c>
    </row>
    <row r="30" spans="2:31" x14ac:dyDescent="0.2">
      <c r="B30" s="58"/>
      <c r="C30" s="58"/>
      <c r="D30" s="59"/>
      <c r="E30" s="15" t="s">
        <v>113</v>
      </c>
      <c r="F30" s="15" t="s">
        <v>120</v>
      </c>
      <c r="G30" s="37" t="s">
        <v>106</v>
      </c>
      <c r="H30" s="37" t="s">
        <v>107</v>
      </c>
      <c r="I30" s="37" t="s">
        <v>108</v>
      </c>
      <c r="J30" s="37" t="s">
        <v>109</v>
      </c>
      <c r="K30" s="37" t="s">
        <v>114</v>
      </c>
      <c r="L30" s="37" t="s">
        <v>111</v>
      </c>
      <c r="M30" s="37" t="s">
        <v>121</v>
      </c>
      <c r="N30" s="60" t="s">
        <v>125</v>
      </c>
      <c r="O30" s="44" t="s">
        <v>124</v>
      </c>
      <c r="P30" s="44" t="s">
        <v>127</v>
      </c>
      <c r="Q30" s="44" t="s">
        <v>113</v>
      </c>
      <c r="R30" s="44" t="s">
        <v>127</v>
      </c>
      <c r="S30" s="15" t="s">
        <v>126</v>
      </c>
      <c r="T30" s="44" t="s">
        <v>118</v>
      </c>
      <c r="U30" s="65" t="s">
        <v>127</v>
      </c>
      <c r="V30" s="44" t="s">
        <v>127</v>
      </c>
      <c r="W30" s="44" t="s">
        <v>132</v>
      </c>
      <c r="X30" s="56"/>
      <c r="Y30" s="44" t="s">
        <v>120</v>
      </c>
      <c r="Z30" s="56"/>
      <c r="AA30" s="44" t="s">
        <v>133</v>
      </c>
      <c r="AB30" s="66" t="s">
        <v>155</v>
      </c>
      <c r="AD30" s="22" t="s">
        <v>50</v>
      </c>
      <c r="AE30" s="22">
        <v>3</v>
      </c>
    </row>
    <row r="31" spans="2:31" x14ac:dyDescent="0.2">
      <c r="B31" s="22">
        <v>3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f>G31*$AE$5+H31*$AE$6+I31*$AE$7+J31*$AE$8+K31</f>
        <v>0</v>
      </c>
      <c r="O31" s="22">
        <v>0</v>
      </c>
      <c r="P31" s="22">
        <v>0</v>
      </c>
      <c r="Q31" s="22">
        <v>0</v>
      </c>
      <c r="R31" s="22">
        <v>0</v>
      </c>
      <c r="S31" s="22">
        <f>IF(O31=0,0,10)</f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f>U31*$AE$13+V31*$AE$14</f>
        <v>0</v>
      </c>
      <c r="AB31" s="22">
        <f>AA31+S31+N31</f>
        <v>0</v>
      </c>
    </row>
    <row r="32" spans="2:31" x14ac:dyDescent="0.2">
      <c r="B32" s="22">
        <v>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f>G32*$AE$5+H32*$AE$6+I32*$AE$7+J32*$AE$8+K32</f>
        <v>0</v>
      </c>
      <c r="O32" s="22">
        <v>0</v>
      </c>
      <c r="P32" s="22">
        <v>0</v>
      </c>
      <c r="Q32" s="22">
        <v>0</v>
      </c>
      <c r="R32" s="22">
        <v>0</v>
      </c>
      <c r="S32" s="22">
        <f t="shared" ref="S32:S35" si="4">IF(O32=0,0,10)</f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f>U32*$AE$13+V32*$AE$14</f>
        <v>0</v>
      </c>
      <c r="AB32" s="22">
        <f t="shared" ref="AB32:AB35" si="5">AA32+S32+N32</f>
        <v>0</v>
      </c>
    </row>
    <row r="33" spans="2:28" x14ac:dyDescent="0.2">
      <c r="B33" s="22">
        <v>3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f>G33*$AE$5+H33*$AE$6+I33*$AE$7+J33*$AE$8+K33</f>
        <v>0</v>
      </c>
      <c r="O33" s="22">
        <v>0</v>
      </c>
      <c r="P33" s="22">
        <v>0</v>
      </c>
      <c r="Q33" s="22">
        <v>0</v>
      </c>
      <c r="R33" s="22">
        <v>0</v>
      </c>
      <c r="S33" s="22">
        <f t="shared" si="4"/>
        <v>0</v>
      </c>
      <c r="T33" s="4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f>U33*$AE$13+V33*$AE$14</f>
        <v>0</v>
      </c>
      <c r="AB33" s="22">
        <f t="shared" si="5"/>
        <v>0</v>
      </c>
    </row>
    <row r="34" spans="2:28" x14ac:dyDescent="0.2">
      <c r="B34" s="22">
        <v>3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f>G34*$AE$5+H34*$AE$6+I34*$AE$7+J34*$AE$8+K34</f>
        <v>0</v>
      </c>
      <c r="O34" s="22">
        <v>0</v>
      </c>
      <c r="P34" s="22">
        <v>0</v>
      </c>
      <c r="Q34" s="22">
        <v>0</v>
      </c>
      <c r="R34" s="22">
        <v>0</v>
      </c>
      <c r="S34" s="22">
        <f t="shared" si="4"/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f>U34*$AE$13+V34*$AE$14</f>
        <v>0</v>
      </c>
      <c r="AB34" s="22">
        <f t="shared" si="5"/>
        <v>0</v>
      </c>
    </row>
    <row r="35" spans="2:28" x14ac:dyDescent="0.2">
      <c r="B35" s="22">
        <v>3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f>G35*$AE$5+H35*$AE$6+I35*$AE$7+J35*$AE$8+K35</f>
        <v>0</v>
      </c>
      <c r="O35" s="22">
        <v>0</v>
      </c>
      <c r="P35" s="22">
        <v>0</v>
      </c>
      <c r="Q35" s="22">
        <v>0</v>
      </c>
      <c r="R35" s="22">
        <v>0</v>
      </c>
      <c r="S35" s="22">
        <f t="shared" si="4"/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f>U35*$AE$13+V35*$AE$14</f>
        <v>0</v>
      </c>
      <c r="AB35" s="22">
        <f t="shared" si="5"/>
        <v>0</v>
      </c>
    </row>
    <row r="37" spans="2:28" ht="18" x14ac:dyDescent="0.3">
      <c r="AA37" s="37" t="s">
        <v>236</v>
      </c>
      <c r="AB37" s="34">
        <f>SUM(AB31:AB33)</f>
        <v>0</v>
      </c>
    </row>
    <row r="38" spans="2:28" ht="18" x14ac:dyDescent="0.3">
      <c r="AA38" s="37" t="s">
        <v>153</v>
      </c>
      <c r="AB38" s="22">
        <f>IF(AND(AI!$C$7="T",AB37&lt;$AE$19),0,IF(AND(AI!$C$7="T",AB37&gt;$AE$19),3,IF(AND(AI!$C$7="AS",AB37&lt;$AE$20),0,IF(AND(AI!$C$7="AS",AB37&gt;$AE$20),3,IF(AND(AI!$C$7="AJ",AB37&lt;$AE$19),0,IF(AND(AI!$C$7="AJ",AB37&gt;$AE$19),3,IF(AND(AI!$C$7="JTP",AB37&lt;$AE$21),0,IF(AND(AI!$C$7="JTP",AB37&gt;$AE$21),3,IF(AND(AI!$C$7="AY1",AB37&lt;$AE$22),0,IF(AND(AI!$C$7="AY1",AB37&gt;$AE$22),3,IF(AND(AI!$C$7="AY2",AB37=0),0,IF(AND(AI!$C$7="AY2",AB37&gt;1),3,1))))))))))))</f>
        <v>0</v>
      </c>
    </row>
    <row r="42" spans="2:28" ht="18.75" x14ac:dyDescent="0.3">
      <c r="B42" s="25" t="s">
        <v>59</v>
      </c>
      <c r="C42" s="62" t="s">
        <v>116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4"/>
      <c r="O42" s="62" t="s">
        <v>122</v>
      </c>
      <c r="P42" s="63"/>
      <c r="Q42" s="63"/>
      <c r="R42" s="63"/>
      <c r="S42" s="64"/>
      <c r="T42" s="2" t="s">
        <v>115</v>
      </c>
      <c r="U42" s="4"/>
      <c r="V42" s="4"/>
      <c r="W42" s="4"/>
      <c r="X42" s="4"/>
      <c r="Y42" s="4"/>
      <c r="Z42" s="4"/>
      <c r="AA42" s="3"/>
      <c r="AB42" s="54"/>
    </row>
    <row r="43" spans="2:28" x14ac:dyDescent="0.2">
      <c r="B43" s="7"/>
      <c r="C43" s="1" t="s">
        <v>119</v>
      </c>
      <c r="D43" s="57" t="s">
        <v>104</v>
      </c>
      <c r="E43" s="6" t="s">
        <v>112</v>
      </c>
      <c r="F43" s="61"/>
      <c r="G43" s="2" t="s">
        <v>105</v>
      </c>
      <c r="H43" s="4"/>
      <c r="I43" s="4"/>
      <c r="J43" s="3"/>
      <c r="K43" s="3"/>
      <c r="L43" s="2" t="s">
        <v>110</v>
      </c>
      <c r="M43" s="3"/>
      <c r="N43" s="26"/>
      <c r="O43" s="5" t="s">
        <v>123</v>
      </c>
      <c r="P43" s="5" t="s">
        <v>104</v>
      </c>
      <c r="Q43" s="5" t="s">
        <v>112</v>
      </c>
      <c r="R43" s="5" t="s">
        <v>120</v>
      </c>
      <c r="S43" s="6"/>
      <c r="T43" s="5" t="s">
        <v>117</v>
      </c>
      <c r="U43" s="5" t="s">
        <v>128</v>
      </c>
      <c r="V43" s="2" t="s">
        <v>131</v>
      </c>
      <c r="W43" s="5" t="s">
        <v>127</v>
      </c>
      <c r="X43" s="5" t="s">
        <v>104</v>
      </c>
      <c r="Y43" s="5" t="s">
        <v>129</v>
      </c>
      <c r="Z43" s="5" t="s">
        <v>130</v>
      </c>
      <c r="AA43" s="55"/>
      <c r="AB43" s="66"/>
    </row>
    <row r="44" spans="2:28" x14ac:dyDescent="0.2">
      <c r="B44" s="58"/>
      <c r="C44" s="58"/>
      <c r="D44" s="59"/>
      <c r="E44" s="15" t="s">
        <v>113</v>
      </c>
      <c r="F44" s="15" t="s">
        <v>120</v>
      </c>
      <c r="G44" s="37" t="s">
        <v>106</v>
      </c>
      <c r="H44" s="37" t="s">
        <v>107</v>
      </c>
      <c r="I44" s="37" t="s">
        <v>108</v>
      </c>
      <c r="J44" s="37" t="s">
        <v>109</v>
      </c>
      <c r="K44" s="37" t="s">
        <v>114</v>
      </c>
      <c r="L44" s="37" t="s">
        <v>111</v>
      </c>
      <c r="M44" s="37" t="s">
        <v>121</v>
      </c>
      <c r="N44" s="60" t="s">
        <v>125</v>
      </c>
      <c r="O44" s="44" t="s">
        <v>124</v>
      </c>
      <c r="P44" s="44" t="s">
        <v>127</v>
      </c>
      <c r="Q44" s="44" t="s">
        <v>113</v>
      </c>
      <c r="R44" s="44" t="s">
        <v>127</v>
      </c>
      <c r="S44" s="15" t="s">
        <v>126</v>
      </c>
      <c r="T44" s="44" t="s">
        <v>118</v>
      </c>
      <c r="U44" s="65" t="s">
        <v>127</v>
      </c>
      <c r="V44" s="44" t="s">
        <v>127</v>
      </c>
      <c r="W44" s="44" t="s">
        <v>132</v>
      </c>
      <c r="X44" s="56"/>
      <c r="Y44" s="44" t="s">
        <v>120</v>
      </c>
      <c r="Z44" s="56"/>
      <c r="AA44" s="44" t="s">
        <v>133</v>
      </c>
      <c r="AB44" s="66" t="s">
        <v>155</v>
      </c>
    </row>
    <row r="45" spans="2:28" x14ac:dyDescent="0.2">
      <c r="B45" s="22">
        <v>4</v>
      </c>
      <c r="C45" s="22" t="s">
        <v>149</v>
      </c>
      <c r="D45" s="22" t="s">
        <v>135</v>
      </c>
      <c r="E45" s="22" t="s">
        <v>136</v>
      </c>
      <c r="F45" s="22" t="s">
        <v>137</v>
      </c>
      <c r="G45" s="22">
        <v>0</v>
      </c>
      <c r="H45" s="22">
        <v>1</v>
      </c>
      <c r="I45" s="22">
        <v>0</v>
      </c>
      <c r="J45" s="22">
        <v>0</v>
      </c>
      <c r="K45" s="22">
        <v>14</v>
      </c>
      <c r="L45" s="22">
        <v>1</v>
      </c>
      <c r="M45" s="22">
        <v>0</v>
      </c>
      <c r="N45" s="22">
        <f>G45*$AE$5+H45*$AE$6+I45*$AE$7+J45*$AE$8+K45</f>
        <v>34</v>
      </c>
      <c r="O45" s="22">
        <v>0</v>
      </c>
      <c r="P45" s="22">
        <v>0</v>
      </c>
      <c r="Q45" s="22">
        <v>0</v>
      </c>
      <c r="R45" s="22">
        <v>0</v>
      </c>
      <c r="S45" s="22">
        <f>IF(O45=0,0,10)</f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f>U45*$AE$13+V45*$AE$14</f>
        <v>0</v>
      </c>
      <c r="AB45" s="22">
        <f>AA45+S45+N45</f>
        <v>34</v>
      </c>
    </row>
    <row r="46" spans="2:28" x14ac:dyDescent="0.2">
      <c r="B46" s="22">
        <v>4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f>G46*$AE$5+H46*$AE$6+I46*$AE$7+J46*$AE$8+K46</f>
        <v>0</v>
      </c>
      <c r="O46" s="22">
        <v>0</v>
      </c>
      <c r="P46" s="22">
        <v>0</v>
      </c>
      <c r="Q46" s="22">
        <v>0</v>
      </c>
      <c r="R46" s="22">
        <v>0</v>
      </c>
      <c r="S46" s="22">
        <f t="shared" ref="S46:S49" si="6">IF(O46=0,0,10)</f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f>U46*$AE$13+V46*$AE$14</f>
        <v>0</v>
      </c>
      <c r="AB46" s="22">
        <f t="shared" ref="AB46:AB49" si="7">AA46+S46+N46</f>
        <v>0</v>
      </c>
    </row>
    <row r="47" spans="2:28" x14ac:dyDescent="0.2">
      <c r="B47" s="22">
        <v>4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f>G47*$AE$5+H47*$AE$6+I47*$AE$7+J47*$AE$8+K47</f>
        <v>0</v>
      </c>
      <c r="O47" s="22">
        <v>0</v>
      </c>
      <c r="P47" s="22">
        <v>0</v>
      </c>
      <c r="Q47" s="22">
        <v>0</v>
      </c>
      <c r="R47" s="22">
        <v>0</v>
      </c>
      <c r="S47" s="22">
        <f t="shared" si="6"/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f>U47*$AE$13+V47*$AE$14</f>
        <v>0</v>
      </c>
      <c r="AB47" s="22">
        <f t="shared" si="7"/>
        <v>0</v>
      </c>
    </row>
    <row r="48" spans="2:28" x14ac:dyDescent="0.2">
      <c r="B48" s="22">
        <v>4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f>G48*$AE$5+H48*$AE$6+I48*$AE$7+J48*$AE$8+K48</f>
        <v>0</v>
      </c>
      <c r="O48" s="22">
        <v>0</v>
      </c>
      <c r="P48" s="22">
        <v>0</v>
      </c>
      <c r="Q48" s="22">
        <v>0</v>
      </c>
      <c r="R48" s="22">
        <v>0</v>
      </c>
      <c r="S48" s="22">
        <f t="shared" si="6"/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f>U48*$AE$13+V48*$AE$14</f>
        <v>0</v>
      </c>
      <c r="AB48" s="22">
        <f t="shared" si="7"/>
        <v>0</v>
      </c>
    </row>
    <row r="49" spans="2:28" x14ac:dyDescent="0.2">
      <c r="B49" s="22">
        <v>4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f>G49*$AE$5+H49*$AE$6+I49*$AE$7+J49*$AE$8+K49</f>
        <v>0</v>
      </c>
      <c r="O49" s="22">
        <v>0</v>
      </c>
      <c r="P49" s="22">
        <v>0</v>
      </c>
      <c r="Q49" s="22">
        <v>0</v>
      </c>
      <c r="R49" s="22">
        <v>0</v>
      </c>
      <c r="S49" s="22">
        <f t="shared" si="6"/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f>U49*$AE$13+V49*$AE$14</f>
        <v>0</v>
      </c>
      <c r="AB49" s="22">
        <f t="shared" si="7"/>
        <v>0</v>
      </c>
    </row>
    <row r="51" spans="2:28" ht="18" x14ac:dyDescent="0.3">
      <c r="AA51" s="37" t="s">
        <v>237</v>
      </c>
      <c r="AB51" s="29">
        <f>SUM(AB45:AB47)</f>
        <v>34</v>
      </c>
    </row>
    <row r="52" spans="2:28" ht="18" x14ac:dyDescent="0.3">
      <c r="AA52" s="37" t="s">
        <v>154</v>
      </c>
      <c r="AB52" s="22">
        <f>IF(AND(AI!$C$7="T",AB51&lt;$AE$19),0,IF(AND(AI!$C$7="T",AB51&gt;$AE$19),3,IF(AND(AI!$C$7="AS",AB51&lt;$AE$20),0,IF(AND(AI!$C$7="AS",AB51&gt;$AE$20),3,IF(AND(AI!$C$7="AJ",AB51&lt;$AE$19),0,IF(AND(AI!$C$7="AJ",AB51&gt;$AE$19),3,IF(AND(AI!$C$7="JTP",AB51&lt;$AE$21),0,IF(AND(AI!$C$7="JTP",AB51&gt;$AE$21),3,IF(AND(AI!$C$7="AY1",AB51&lt;$AE$22),0,IF(AND(AI!$C$7="AY1",AB51&gt;$AE$22),3,IF(AND(AI!$C$7="AY2",AB51=0),0,IF(AND(AI!$C$7="AY2",AB51&gt;1),3,1))))))))))))</f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5"/>
  <sheetViews>
    <sheetView topLeftCell="L4" workbookViewId="0">
      <selection activeCell="V44" sqref="V44"/>
    </sheetView>
  </sheetViews>
  <sheetFormatPr baseColWidth="10" defaultRowHeight="15" x14ac:dyDescent="0.2"/>
  <cols>
    <col min="1" max="1" width="1.21875" customWidth="1"/>
    <col min="2" max="2" width="6.33203125" customWidth="1"/>
    <col min="3" max="3" width="13.44140625" customWidth="1"/>
    <col min="4" max="4" width="14.109375" customWidth="1"/>
    <col min="5" max="5" width="12" customWidth="1"/>
    <col min="6" max="6" width="9.33203125" customWidth="1"/>
    <col min="7" max="7" width="8.6640625" customWidth="1"/>
    <col min="8" max="8" width="10.5546875" customWidth="1"/>
    <col min="9" max="9" width="8" customWidth="1"/>
    <col min="10" max="10" width="8.5546875" customWidth="1"/>
    <col min="11" max="11" width="9.5546875" customWidth="1"/>
    <col min="12" max="12" width="6.88671875" customWidth="1"/>
    <col min="13" max="13" width="12.21875" customWidth="1"/>
    <col min="14" max="14" width="9.21875" customWidth="1"/>
    <col min="15" max="15" width="7.5546875" customWidth="1"/>
    <col min="16" max="16" width="14.88671875" customWidth="1"/>
    <col min="17" max="17" width="10.109375" customWidth="1"/>
    <col min="18" max="18" width="9.6640625" customWidth="1"/>
    <col min="19" max="19" width="10.88671875" customWidth="1"/>
    <col min="20" max="20" width="10.21875" customWidth="1"/>
    <col min="21" max="22" width="6.21875" customWidth="1"/>
    <col min="23" max="23" width="2.88671875" customWidth="1"/>
    <col min="24" max="24" width="20.44140625" customWidth="1"/>
    <col min="25" max="25" width="31.33203125" customWidth="1"/>
    <col min="26" max="26" width="2.5546875" customWidth="1"/>
    <col min="27" max="27" width="19.88671875" customWidth="1"/>
    <col min="28" max="28" width="26.6640625" customWidth="1"/>
  </cols>
  <sheetData>
    <row r="2" spans="2:28" x14ac:dyDescent="0.2">
      <c r="B2" s="30" t="s">
        <v>156</v>
      </c>
      <c r="C2" s="30"/>
      <c r="D2" s="30"/>
      <c r="E2" s="30"/>
    </row>
    <row r="3" spans="2:28" ht="19.5" x14ac:dyDescent="0.35">
      <c r="B3" s="25" t="s">
        <v>59</v>
      </c>
      <c r="C3" s="12" t="s">
        <v>166</v>
      </c>
      <c r="D3" s="13"/>
      <c r="E3" s="14"/>
      <c r="F3" s="2" t="s">
        <v>60</v>
      </c>
      <c r="G3" s="4"/>
      <c r="H3" s="4"/>
      <c r="I3" s="4"/>
      <c r="J3" s="4"/>
      <c r="K3" s="1" t="s">
        <v>82</v>
      </c>
      <c r="L3" s="25"/>
      <c r="M3" s="2" t="s">
        <v>83</v>
      </c>
      <c r="N3" s="4"/>
      <c r="O3" s="4"/>
      <c r="P3" s="4"/>
      <c r="Q3" s="4"/>
      <c r="R3" s="3"/>
      <c r="S3" s="3"/>
      <c r="T3" s="3"/>
      <c r="U3" s="55"/>
      <c r="V3" s="55"/>
      <c r="X3" t="s">
        <v>348</v>
      </c>
      <c r="AA3" t="s">
        <v>344</v>
      </c>
    </row>
    <row r="4" spans="2:28" ht="18" x14ac:dyDescent="0.3">
      <c r="B4" s="67"/>
      <c r="C4" s="69" t="s">
        <v>53</v>
      </c>
      <c r="D4" s="69" t="s">
        <v>167</v>
      </c>
      <c r="E4" s="69" t="s">
        <v>168</v>
      </c>
      <c r="F4" s="37" t="s">
        <v>157</v>
      </c>
      <c r="G4" s="37" t="s">
        <v>158</v>
      </c>
      <c r="H4" s="37" t="s">
        <v>159</v>
      </c>
      <c r="I4" s="37" t="s">
        <v>160</v>
      </c>
      <c r="J4" s="68" t="s">
        <v>161</v>
      </c>
      <c r="K4" s="58"/>
      <c r="L4" s="15" t="s">
        <v>196</v>
      </c>
      <c r="M4" s="37" t="s">
        <v>189</v>
      </c>
      <c r="N4" s="37" t="s">
        <v>162</v>
      </c>
      <c r="O4" s="37" t="s">
        <v>163</v>
      </c>
      <c r="P4" s="37" t="s">
        <v>164</v>
      </c>
      <c r="Q4" s="37" t="s">
        <v>193</v>
      </c>
      <c r="R4" s="37" t="s">
        <v>165</v>
      </c>
      <c r="S4" s="37" t="s">
        <v>191</v>
      </c>
      <c r="T4" s="37" t="s">
        <v>192</v>
      </c>
      <c r="U4" s="15" t="s">
        <v>195</v>
      </c>
      <c r="V4" s="15" t="s">
        <v>194</v>
      </c>
      <c r="X4" s="1" t="s">
        <v>60</v>
      </c>
      <c r="Y4" s="1" t="s">
        <v>144</v>
      </c>
      <c r="AA4" s="1" t="s">
        <v>0</v>
      </c>
      <c r="AB4" s="1" t="s">
        <v>46</v>
      </c>
    </row>
    <row r="5" spans="2:28" x14ac:dyDescent="0.2">
      <c r="B5" s="22">
        <v>1</v>
      </c>
      <c r="C5" s="22" t="s">
        <v>177</v>
      </c>
      <c r="D5" s="22" t="s">
        <v>182</v>
      </c>
      <c r="E5" s="22" t="s">
        <v>185</v>
      </c>
      <c r="F5" s="22">
        <v>1</v>
      </c>
      <c r="G5" s="22">
        <v>0</v>
      </c>
      <c r="H5" s="22">
        <v>0</v>
      </c>
      <c r="I5" s="22">
        <v>0</v>
      </c>
      <c r="J5" s="22">
        <v>0</v>
      </c>
      <c r="K5" s="22" t="s">
        <v>172</v>
      </c>
      <c r="L5" s="22">
        <f>IF(F5=1,$Y$5,IF(G5=1,$Y$6,IF(H5,$Y$7,IF(I5=1,$Y$8,IF(J5=1,$Y$9,0)))))+IF(K5="UN",$Y$13,IF(K5="PR",$Y$14,IF(K5="NAC",$Y$15,IF(K5="INT",$Y$16,IF(K5="NACINT",$Y$17,0)))))</f>
        <v>40</v>
      </c>
      <c r="M5" s="22">
        <v>1</v>
      </c>
      <c r="N5" s="22">
        <v>1</v>
      </c>
      <c r="O5" s="22">
        <v>1</v>
      </c>
      <c r="P5" s="22">
        <v>1</v>
      </c>
      <c r="Q5" s="22">
        <v>1</v>
      </c>
      <c r="R5" s="22">
        <v>1</v>
      </c>
      <c r="S5" s="22">
        <v>0</v>
      </c>
      <c r="T5" s="22">
        <v>0</v>
      </c>
      <c r="U5" s="22">
        <f>IF(M5=1,$Y$21,0)+IF(N5=1,$Y$22,0)+IF(O5=1,$Y$23,0)+IF(P5=1,$Y$24,0)+IF(Q5=1,$Y$25,0)+IF(R5=1,$Y$26,0)+IF(S5=1,$Y27,0)+IF(T5=1,$Y$28,0)</f>
        <v>95</v>
      </c>
      <c r="V5" s="22">
        <f>L5+U5</f>
        <v>135</v>
      </c>
      <c r="X5" s="16" t="s">
        <v>157</v>
      </c>
      <c r="Y5" s="16">
        <v>20</v>
      </c>
      <c r="AA5" s="16" t="s">
        <v>16</v>
      </c>
      <c r="AB5" s="16">
        <v>25</v>
      </c>
    </row>
    <row r="6" spans="2:28" x14ac:dyDescent="0.2">
      <c r="B6" s="22">
        <v>1</v>
      </c>
      <c r="C6" s="22" t="s">
        <v>178</v>
      </c>
      <c r="D6" s="22" t="s">
        <v>181</v>
      </c>
      <c r="E6" s="22" t="s">
        <v>186</v>
      </c>
      <c r="F6" s="22">
        <v>0</v>
      </c>
      <c r="G6" s="22">
        <v>0</v>
      </c>
      <c r="H6" s="22">
        <v>0</v>
      </c>
      <c r="I6" s="22">
        <v>0</v>
      </c>
      <c r="J6" s="22">
        <v>1</v>
      </c>
      <c r="K6" s="22" t="s">
        <v>176</v>
      </c>
      <c r="L6" s="22">
        <f t="shared" ref="L6:L8" si="0">IF(F6=1,$Y$5,IF(G6=1,$Y$6,IF(H6,$Y$7,IF(I6=1,$Y$8,IF(J6=1,$Y$9,0)))))+IF(K6="UN",$Y$13,IF(K6="PR",$Y$14,IF(K6="NAC",$Y$15,IF(K6="INT",$Y$16,IF(K6="NACINT",$Y$17,0)))))</f>
        <v>55</v>
      </c>
      <c r="M6" s="22">
        <v>0</v>
      </c>
      <c r="N6" s="22">
        <v>1</v>
      </c>
      <c r="O6" s="22">
        <v>1</v>
      </c>
      <c r="P6" s="22">
        <v>0</v>
      </c>
      <c r="Q6" s="22">
        <v>0</v>
      </c>
      <c r="R6" s="22">
        <v>0</v>
      </c>
      <c r="S6" s="22">
        <v>1</v>
      </c>
      <c r="T6" s="22">
        <v>0</v>
      </c>
      <c r="U6" s="22">
        <f t="shared" ref="U6:U8" si="1">IF(M6=1,$Y$21,0)+IF(N6=1,$Y$22,0)+IF(O6=1,$Y$23,0)+IF(P6=1,$Y$24,0)+IF(Q6=1,$Y$25,0)+IF(R6=1,$Y$26,0)+IF(S6=1,$Y28,0)+IF(T6=1,$Y$28,0)</f>
        <v>50</v>
      </c>
      <c r="V6" s="22">
        <f t="shared" ref="V6:V8" si="2">L6+U6</f>
        <v>105</v>
      </c>
      <c r="X6" s="18" t="s">
        <v>169</v>
      </c>
      <c r="Y6" s="18">
        <v>15</v>
      </c>
      <c r="AA6" s="18" t="s">
        <v>20</v>
      </c>
      <c r="AB6" s="18">
        <v>25</v>
      </c>
    </row>
    <row r="7" spans="2:28" x14ac:dyDescent="0.2">
      <c r="B7" s="22">
        <v>1</v>
      </c>
      <c r="C7" s="22" t="s">
        <v>179</v>
      </c>
      <c r="D7" s="22" t="s">
        <v>183</v>
      </c>
      <c r="E7" s="22" t="s">
        <v>187</v>
      </c>
      <c r="F7" s="22">
        <v>1</v>
      </c>
      <c r="G7" s="22">
        <v>0</v>
      </c>
      <c r="H7" s="22">
        <v>0</v>
      </c>
      <c r="I7" s="22">
        <v>0</v>
      </c>
      <c r="J7" s="22">
        <v>0</v>
      </c>
      <c r="K7" s="22" t="s">
        <v>175</v>
      </c>
      <c r="L7" s="22">
        <f t="shared" si="0"/>
        <v>50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1</v>
      </c>
      <c r="S7" s="22">
        <v>0</v>
      </c>
      <c r="T7" s="22">
        <v>1</v>
      </c>
      <c r="U7" s="22">
        <f t="shared" si="1"/>
        <v>35</v>
      </c>
      <c r="V7" s="22">
        <f t="shared" si="2"/>
        <v>85</v>
      </c>
      <c r="X7" s="18" t="s">
        <v>170</v>
      </c>
      <c r="Y7" s="18">
        <v>15</v>
      </c>
      <c r="AA7" s="18" t="s">
        <v>21</v>
      </c>
      <c r="AB7" s="18">
        <v>10</v>
      </c>
    </row>
    <row r="8" spans="2:28" x14ac:dyDescent="0.2">
      <c r="B8" s="22">
        <v>1</v>
      </c>
      <c r="C8" s="22" t="s">
        <v>180</v>
      </c>
      <c r="D8" s="22" t="s">
        <v>184</v>
      </c>
      <c r="E8" s="22" t="s">
        <v>188</v>
      </c>
      <c r="F8" s="22">
        <v>0</v>
      </c>
      <c r="G8" s="22">
        <v>1</v>
      </c>
      <c r="H8" s="22">
        <v>0</v>
      </c>
      <c r="I8" s="22">
        <v>0</v>
      </c>
      <c r="J8" s="22">
        <v>0</v>
      </c>
      <c r="K8" s="22" t="s">
        <v>174</v>
      </c>
      <c r="L8" s="22">
        <f t="shared" si="0"/>
        <v>35</v>
      </c>
      <c r="M8" s="22">
        <v>0</v>
      </c>
      <c r="N8" s="22">
        <v>1</v>
      </c>
      <c r="O8" s="22">
        <v>1</v>
      </c>
      <c r="P8" s="22">
        <v>0</v>
      </c>
      <c r="Q8" s="22">
        <v>1</v>
      </c>
      <c r="R8" s="22">
        <v>1</v>
      </c>
      <c r="S8" s="22">
        <v>0</v>
      </c>
      <c r="T8" s="22">
        <v>0</v>
      </c>
      <c r="U8" s="22">
        <f t="shared" si="1"/>
        <v>35</v>
      </c>
      <c r="V8" s="22">
        <f t="shared" si="2"/>
        <v>70</v>
      </c>
      <c r="X8" s="18" t="s">
        <v>160</v>
      </c>
      <c r="Y8" s="18">
        <v>15</v>
      </c>
      <c r="AA8" s="18" t="s">
        <v>22</v>
      </c>
      <c r="AB8" s="18">
        <v>25</v>
      </c>
    </row>
    <row r="9" spans="2:28" x14ac:dyDescent="0.2">
      <c r="X9" s="46" t="s">
        <v>161</v>
      </c>
      <c r="Y9" s="20">
        <v>15</v>
      </c>
      <c r="AA9" s="18" t="s">
        <v>23</v>
      </c>
      <c r="AB9" s="18">
        <v>5</v>
      </c>
    </row>
    <row r="10" spans="2:28" ht="18" x14ac:dyDescent="0.3">
      <c r="U10" s="37" t="s">
        <v>240</v>
      </c>
      <c r="V10" s="22">
        <f>SUM(V5:V8)</f>
        <v>395</v>
      </c>
      <c r="AA10" s="20" t="s">
        <v>25</v>
      </c>
      <c r="AB10" s="20">
        <v>0</v>
      </c>
    </row>
    <row r="11" spans="2:28" ht="18" x14ac:dyDescent="0.3">
      <c r="U11" s="37" t="s">
        <v>171</v>
      </c>
      <c r="V11" s="22">
        <f>IF(AND(AI!$C$7="T",V10&lt;$AB$5),0,IF(AND(AI!$C$7="T",V10&gt;$AB$5),3,IF(AND(AI!$C$7="AS",V10&lt;$AB$6),0,IF(AND(AI!$C$7="AS",V10&gt;$AB$6),3,IF(AND(AI!$C$7="AJ",V10&lt;$AB$7),0,IF(AND(AI!$C$7="AJ",V10&gt;$AB$7),3,IF(AND(AI!$C$7="JTP",V10&lt;$AB$8),0,IF(AND(AI!$C$7="JTP",V10&gt;$AB$8),3,IF(AND(AI!$C$7="AY1",V10&lt;$AB$9),0,IF(AND(AI!$C$7="AY1",V10&gt;$AB$9),3,IF(AND(AI!$C$7="AY2",V10=0),0,IF(AND(AI!$C$7="AY2",V10&gt;1),3,1))))))))))))</f>
        <v>3</v>
      </c>
      <c r="X11" t="s">
        <v>349</v>
      </c>
    </row>
    <row r="12" spans="2:28" ht="19.5" x14ac:dyDescent="0.35">
      <c r="X12" s="1" t="s">
        <v>82</v>
      </c>
      <c r="Y12" s="1" t="s">
        <v>144</v>
      </c>
      <c r="AA12" s="38" t="s">
        <v>342</v>
      </c>
    </row>
    <row r="13" spans="2:28" ht="18" x14ac:dyDescent="0.3">
      <c r="B13" s="30" t="s">
        <v>156</v>
      </c>
      <c r="C13" s="30"/>
      <c r="D13" s="30"/>
      <c r="E13" s="30"/>
      <c r="X13" s="16" t="s">
        <v>172</v>
      </c>
      <c r="Y13" s="16">
        <v>20</v>
      </c>
      <c r="AA13" s="37" t="s">
        <v>343</v>
      </c>
      <c r="AB13" s="37" t="s">
        <v>197</v>
      </c>
    </row>
    <row r="14" spans="2:28" x14ac:dyDescent="0.2">
      <c r="B14" s="25" t="s">
        <v>59</v>
      </c>
      <c r="C14" s="12" t="s">
        <v>166</v>
      </c>
      <c r="D14" s="13"/>
      <c r="E14" s="14"/>
      <c r="F14" s="2" t="s">
        <v>60</v>
      </c>
      <c r="G14" s="4"/>
      <c r="H14" s="4"/>
      <c r="I14" s="4"/>
      <c r="J14" s="4"/>
      <c r="K14" s="1" t="s">
        <v>82</v>
      </c>
      <c r="L14" s="25"/>
      <c r="M14" s="2" t="s">
        <v>83</v>
      </c>
      <c r="N14" s="4"/>
      <c r="O14" s="4"/>
      <c r="P14" s="4"/>
      <c r="Q14" s="4"/>
      <c r="R14" s="3"/>
      <c r="S14" s="3"/>
      <c r="T14" s="3"/>
      <c r="U14" s="55"/>
      <c r="V14" s="55"/>
      <c r="X14" s="18" t="s">
        <v>173</v>
      </c>
      <c r="Y14" s="18">
        <v>10</v>
      </c>
      <c r="AA14" s="22" t="s">
        <v>47</v>
      </c>
      <c r="AB14" s="22">
        <v>0</v>
      </c>
    </row>
    <row r="15" spans="2:28" ht="18" x14ac:dyDescent="0.3">
      <c r="B15" s="67"/>
      <c r="C15" s="69" t="s">
        <v>53</v>
      </c>
      <c r="D15" s="69" t="s">
        <v>167</v>
      </c>
      <c r="E15" s="69" t="s">
        <v>168</v>
      </c>
      <c r="F15" s="37" t="s">
        <v>157</v>
      </c>
      <c r="G15" s="37" t="s">
        <v>158</v>
      </c>
      <c r="H15" s="37" t="s">
        <v>159</v>
      </c>
      <c r="I15" s="37" t="s">
        <v>160</v>
      </c>
      <c r="J15" s="68" t="s">
        <v>161</v>
      </c>
      <c r="K15" s="58"/>
      <c r="L15" s="15" t="s">
        <v>196</v>
      </c>
      <c r="M15" s="37" t="s">
        <v>189</v>
      </c>
      <c r="N15" s="37" t="s">
        <v>162</v>
      </c>
      <c r="O15" s="37" t="s">
        <v>163</v>
      </c>
      <c r="P15" s="37" t="s">
        <v>164</v>
      </c>
      <c r="Q15" s="37" t="s">
        <v>193</v>
      </c>
      <c r="R15" s="37" t="s">
        <v>165</v>
      </c>
      <c r="S15" s="37" t="s">
        <v>191</v>
      </c>
      <c r="T15" s="37" t="s">
        <v>192</v>
      </c>
      <c r="U15" s="15" t="s">
        <v>195</v>
      </c>
      <c r="V15" s="15" t="s">
        <v>194</v>
      </c>
      <c r="X15" s="18" t="s">
        <v>174</v>
      </c>
      <c r="Y15" s="18">
        <v>20</v>
      </c>
      <c r="AA15" s="22" t="s">
        <v>49</v>
      </c>
      <c r="AB15" s="22">
        <v>1</v>
      </c>
    </row>
    <row r="16" spans="2:28" x14ac:dyDescent="0.2">
      <c r="B16" s="22">
        <v>2</v>
      </c>
      <c r="C16" s="22" t="s">
        <v>177</v>
      </c>
      <c r="D16" s="22" t="s">
        <v>205</v>
      </c>
      <c r="E16" s="22" t="s">
        <v>185</v>
      </c>
      <c r="F16" s="22">
        <v>0</v>
      </c>
      <c r="G16" s="22">
        <v>0</v>
      </c>
      <c r="H16" s="22">
        <v>0</v>
      </c>
      <c r="I16" s="22">
        <v>1</v>
      </c>
      <c r="J16" s="22">
        <v>0</v>
      </c>
      <c r="K16" s="22" t="s">
        <v>176</v>
      </c>
      <c r="L16" s="22">
        <f>IF(F16=1,$Y$5,IF(G16=1,$Y$6,IF(H16,$Y$7,IF(I16=1,$Y$8,IF(J16=1,$Y$9,0)))))+IF(K16="UN",$Y$13,IF(K16="PR",$Y$14,IF(K16="NAC",$Y$15,IF(K16="INT",$Y$16,IF(K16="NACINT",$Y$17,0)))))</f>
        <v>55</v>
      </c>
      <c r="M16" s="22">
        <v>0</v>
      </c>
      <c r="N16" s="22">
        <v>1</v>
      </c>
      <c r="O16" s="22">
        <v>1</v>
      </c>
      <c r="P16" s="22">
        <v>0</v>
      </c>
      <c r="Q16" s="22">
        <v>1</v>
      </c>
      <c r="R16" s="22">
        <v>0</v>
      </c>
      <c r="S16" s="22">
        <v>0</v>
      </c>
      <c r="T16" s="22">
        <v>0</v>
      </c>
      <c r="U16" s="22">
        <f>IF(M16=1,$Y$21,0)+IF(N16=1,$Y$22,0)+IF(O16=1,$Y$23,0)+IF(P16=1,$Y$24,0)+IF(Q16=1,$Y$25,0)+IF(R16=1,$Y$26,0)+IF(S16=1,$Y38,0)+IF(T16=1,$Y$28,0)</f>
        <v>30</v>
      </c>
      <c r="V16" s="22">
        <f>L16+U16</f>
        <v>85</v>
      </c>
      <c r="X16" s="18" t="s">
        <v>175</v>
      </c>
      <c r="Y16" s="18">
        <v>30</v>
      </c>
      <c r="AA16" s="22" t="s">
        <v>50</v>
      </c>
      <c r="AB16" s="22">
        <v>3</v>
      </c>
    </row>
    <row r="17" spans="2:25" x14ac:dyDescent="0.2">
      <c r="B17" s="22">
        <v>2</v>
      </c>
      <c r="C17" s="22" t="s">
        <v>178</v>
      </c>
      <c r="D17" s="22" t="s">
        <v>181</v>
      </c>
      <c r="E17" s="22" t="s">
        <v>204</v>
      </c>
      <c r="F17" s="22">
        <v>0</v>
      </c>
      <c r="G17" s="22">
        <v>0</v>
      </c>
      <c r="H17" s="22">
        <v>0</v>
      </c>
      <c r="I17" s="22">
        <v>0</v>
      </c>
      <c r="J17" s="22">
        <v>1</v>
      </c>
      <c r="K17" s="22" t="s">
        <v>174</v>
      </c>
      <c r="L17" s="22">
        <f t="shared" ref="L17:L19" si="3">IF(F17=1,$Y$5,IF(G17=1,$Y$6,IF(H17,$Y$7,IF(I17=1,$Y$8,IF(J17=1,$Y$9,0)))))+IF(K17="UN",$Y$13,IF(K17="PR",$Y$14,IF(K17="NAC",$Y$15,IF(K17="INT",$Y$16,IF(K17="NACINT",$Y$17,0)))))</f>
        <v>35</v>
      </c>
      <c r="M17" s="22">
        <v>0</v>
      </c>
      <c r="N17" s="22">
        <v>1</v>
      </c>
      <c r="O17" s="22">
        <v>1</v>
      </c>
      <c r="P17" s="22">
        <v>0</v>
      </c>
      <c r="Q17" s="22">
        <v>0</v>
      </c>
      <c r="R17" s="22">
        <v>0</v>
      </c>
      <c r="S17" s="22">
        <v>1</v>
      </c>
      <c r="T17" s="22">
        <v>0</v>
      </c>
      <c r="U17" s="22">
        <f t="shared" ref="U17:U19" si="4">IF(M17=1,$Y$21,0)+IF(N17=1,$Y$22,0)+IF(O17=1,$Y$23,0)+IF(P17=1,$Y$24,0)+IF(Q17=1,$Y$25,0)+IF(R17=1,$Y$26,0)+IF(S17=1,$Y39,0)+IF(T17=1,$Y$28,0)</f>
        <v>20</v>
      </c>
      <c r="V17" s="22">
        <f t="shared" ref="V17:V19" si="5">L17+U17</f>
        <v>55</v>
      </c>
      <c r="X17" s="46" t="s">
        <v>176</v>
      </c>
      <c r="Y17" s="20">
        <v>40</v>
      </c>
    </row>
    <row r="18" spans="2:25" x14ac:dyDescent="0.2">
      <c r="B18" s="22">
        <v>2</v>
      </c>
      <c r="C18" s="22"/>
      <c r="D18" s="22"/>
      <c r="E18" s="22"/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/>
      <c r="L18" s="22">
        <f t="shared" si="3"/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f t="shared" si="4"/>
        <v>0</v>
      </c>
      <c r="V18" s="22">
        <f t="shared" si="5"/>
        <v>0</v>
      </c>
    </row>
    <row r="19" spans="2:25" x14ac:dyDescent="0.2">
      <c r="B19" s="22">
        <v>2</v>
      </c>
      <c r="C19" s="22"/>
      <c r="D19" s="22"/>
      <c r="E19" s="22"/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/>
      <c r="L19" s="22">
        <f t="shared" si="3"/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f t="shared" si="4"/>
        <v>0</v>
      </c>
      <c r="V19" s="22">
        <f t="shared" si="5"/>
        <v>0</v>
      </c>
      <c r="X19" t="s">
        <v>350</v>
      </c>
    </row>
    <row r="20" spans="2:25" x14ac:dyDescent="0.2">
      <c r="X20" s="1" t="s">
        <v>82</v>
      </c>
      <c r="Y20" s="1" t="s">
        <v>144</v>
      </c>
    </row>
    <row r="21" spans="2:25" ht="18" x14ac:dyDescent="0.3">
      <c r="U21" s="37" t="s">
        <v>241</v>
      </c>
      <c r="V21" s="22">
        <f>SUM(V16:V19)</f>
        <v>140</v>
      </c>
      <c r="X21" s="16" t="s">
        <v>189</v>
      </c>
      <c r="Y21" s="16">
        <v>30</v>
      </c>
    </row>
    <row r="22" spans="2:25" ht="18" x14ac:dyDescent="0.3">
      <c r="U22" s="37" t="s">
        <v>198</v>
      </c>
      <c r="V22" s="22">
        <f>IF(AND(AI!$C$8="T",V21&lt;$AB$5),0,IF(AND(AI!$C$8="T",V21&gt;$AB$5),3,IF(AND(AI!$C$8="AS",V21&lt;$AB$6),0,IF(AND(AI!$C$8="AS",V21&gt;$AB$6),3,IF(AND(AI!$C$8="AJ",V21&lt;$AB$7),0,IF(AND(AI!$C$8="AJ",V21&gt;$AB$7),3,IF(AND(AI!$C$8="JTP",V21&lt;$AB$8),0,IF(AND(AI!$C$8="JTP",V21&gt;$AB$8),3,IF(AND(AI!$C$8="AY1",V21&lt;$AB$9),0,IF(AND(AI!$C$8="AY1",V21&gt;$AB$9),3,IF(AND(AI!$C$8="AY2",V21=0),0,IF(AND(AI!$C$8="AY2",V21&gt;1),3,1))))))))))))</f>
        <v>3</v>
      </c>
      <c r="X22" s="18" t="s">
        <v>162</v>
      </c>
      <c r="Y22" s="18">
        <v>10</v>
      </c>
    </row>
    <row r="23" spans="2:25" x14ac:dyDescent="0.2">
      <c r="X23" s="18" t="s">
        <v>163</v>
      </c>
      <c r="Y23" s="18">
        <v>10</v>
      </c>
    </row>
    <row r="24" spans="2:25" x14ac:dyDescent="0.2">
      <c r="X24" s="18" t="s">
        <v>190</v>
      </c>
      <c r="Y24" s="18">
        <v>30</v>
      </c>
    </row>
    <row r="25" spans="2:25" x14ac:dyDescent="0.2">
      <c r="B25" s="30" t="s">
        <v>156</v>
      </c>
      <c r="C25" s="30"/>
      <c r="D25" s="30"/>
      <c r="E25" s="30"/>
      <c r="X25" s="18" t="s">
        <v>193</v>
      </c>
      <c r="Y25" s="18">
        <v>10</v>
      </c>
    </row>
    <row r="26" spans="2:25" x14ac:dyDescent="0.2">
      <c r="B26" s="25" t="s">
        <v>59</v>
      </c>
      <c r="C26" s="12" t="s">
        <v>166</v>
      </c>
      <c r="D26" s="13"/>
      <c r="E26" s="14"/>
      <c r="F26" s="2" t="s">
        <v>60</v>
      </c>
      <c r="G26" s="4"/>
      <c r="H26" s="4"/>
      <c r="I26" s="4"/>
      <c r="J26" s="4"/>
      <c r="K26" s="1" t="s">
        <v>82</v>
      </c>
      <c r="L26" s="25"/>
      <c r="M26" s="2" t="s">
        <v>83</v>
      </c>
      <c r="N26" s="4"/>
      <c r="O26" s="4"/>
      <c r="P26" s="4"/>
      <c r="Q26" s="4"/>
      <c r="R26" s="3"/>
      <c r="S26" s="3"/>
      <c r="T26" s="3"/>
      <c r="U26" s="55"/>
      <c r="V26" s="55"/>
      <c r="X26" s="45" t="s">
        <v>165</v>
      </c>
      <c r="Y26" s="18">
        <v>5</v>
      </c>
    </row>
    <row r="27" spans="2:25" ht="18" x14ac:dyDescent="0.3">
      <c r="B27" s="67"/>
      <c r="C27" s="69" t="s">
        <v>53</v>
      </c>
      <c r="D27" s="69" t="s">
        <v>167</v>
      </c>
      <c r="E27" s="69" t="s">
        <v>168</v>
      </c>
      <c r="F27" s="37" t="s">
        <v>157</v>
      </c>
      <c r="G27" s="37" t="s">
        <v>158</v>
      </c>
      <c r="H27" s="37" t="s">
        <v>159</v>
      </c>
      <c r="I27" s="37" t="s">
        <v>160</v>
      </c>
      <c r="J27" s="68" t="s">
        <v>161</v>
      </c>
      <c r="K27" s="58"/>
      <c r="L27" s="15" t="s">
        <v>196</v>
      </c>
      <c r="M27" s="37" t="s">
        <v>189</v>
      </c>
      <c r="N27" s="37" t="s">
        <v>162</v>
      </c>
      <c r="O27" s="37" t="s">
        <v>163</v>
      </c>
      <c r="P27" s="37" t="s">
        <v>164</v>
      </c>
      <c r="Q27" s="37" t="s">
        <v>193</v>
      </c>
      <c r="R27" s="37" t="s">
        <v>165</v>
      </c>
      <c r="S27" s="37" t="s">
        <v>191</v>
      </c>
      <c r="T27" s="37" t="s">
        <v>192</v>
      </c>
      <c r="U27" s="15" t="s">
        <v>195</v>
      </c>
      <c r="V27" s="15" t="s">
        <v>194</v>
      </c>
      <c r="X27" s="45" t="s">
        <v>191</v>
      </c>
      <c r="Y27" s="45">
        <v>30</v>
      </c>
    </row>
    <row r="28" spans="2:25" x14ac:dyDescent="0.2">
      <c r="B28" s="22">
        <v>3</v>
      </c>
      <c r="C28" s="22" t="s">
        <v>201</v>
      </c>
      <c r="D28" s="22" t="s">
        <v>202</v>
      </c>
      <c r="E28" s="22" t="s">
        <v>203</v>
      </c>
      <c r="F28" s="22">
        <v>0</v>
      </c>
      <c r="G28" s="22">
        <v>0</v>
      </c>
      <c r="H28" s="22">
        <v>1</v>
      </c>
      <c r="I28" s="22">
        <v>0</v>
      </c>
      <c r="J28" s="22">
        <v>0</v>
      </c>
      <c r="K28" s="22" t="s">
        <v>174</v>
      </c>
      <c r="L28" s="22">
        <f>IF(F28=1,$Y$5,IF(G28=1,$Y$6,IF(H28,$Y$7,IF(I28=1,$Y$8,IF(J28=1,$Y$9,0)))))+IF(K28="UN",$Y$13,IF(K28="PR",$Y$14,IF(K28="NAC",$Y$15,IF(K28="INT",$Y$16,IF(K28="NACINT",$Y$17,0)))))</f>
        <v>35</v>
      </c>
      <c r="M28" s="22">
        <v>0</v>
      </c>
      <c r="N28" s="22">
        <v>1</v>
      </c>
      <c r="O28" s="22">
        <v>1</v>
      </c>
      <c r="P28" s="22">
        <v>0</v>
      </c>
      <c r="Q28" s="22">
        <v>0</v>
      </c>
      <c r="R28" s="22">
        <v>1</v>
      </c>
      <c r="S28" s="22">
        <v>0</v>
      </c>
      <c r="T28" s="22">
        <v>0</v>
      </c>
      <c r="U28" s="22">
        <f>IF(M28=1,$Y$21,0)+IF(N28=1,$Y$22,0)+IF(O28=1,$Y$23,0)+IF(P28=1,$Y$24,0)+IF(Q28=1,$Y$25,0)+IF(R28=1,$Y$26,0)+IF(S28=1,$Y50,0)+IF(T28=1,$Y$28,0)</f>
        <v>25</v>
      </c>
      <c r="V28" s="22">
        <f>L28+U28</f>
        <v>60</v>
      </c>
      <c r="X28" s="46" t="s">
        <v>192</v>
      </c>
      <c r="Y28" s="46">
        <v>30</v>
      </c>
    </row>
    <row r="29" spans="2:25" x14ac:dyDescent="0.2">
      <c r="B29" s="22">
        <v>3</v>
      </c>
      <c r="C29" s="22"/>
      <c r="D29" s="22"/>
      <c r="E29" s="22"/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/>
      <c r="L29" s="22">
        <f t="shared" ref="L29:L31" si="6">IF(F29=1,$Y$5,IF(G29=1,$Y$6,IF(H29,$Y$7,IF(I29=1,$Y$8,IF(J29=1,$Y$9,0)))))+IF(K29="UN",$Y$13,IF(K29="PR",$Y$14,IF(K29="NAC",$Y$15,IF(K29="INT",$Y$16,IF(K29="NACINT",$Y$17,0)))))</f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f t="shared" ref="U29:U31" si="7">IF(M29=1,$Y$21,0)+IF(N29=1,$Y$22,0)+IF(O29=1,$Y$23,0)+IF(P29=1,$Y$24,0)+IF(Q29=1,$Y$25,0)+IF(R29=1,$Y$26,0)+IF(S29=1,$Y51,0)+IF(T29=1,$Y$28,0)</f>
        <v>0</v>
      </c>
      <c r="V29" s="22">
        <f t="shared" ref="V29:V31" si="8">L29+U29</f>
        <v>0</v>
      </c>
    </row>
    <row r="30" spans="2:25" x14ac:dyDescent="0.2">
      <c r="B30" s="22">
        <v>3</v>
      </c>
      <c r="C30" s="22"/>
      <c r="D30" s="22"/>
      <c r="E30" s="22"/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/>
      <c r="L30" s="22">
        <f t="shared" si="6"/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f t="shared" si="7"/>
        <v>0</v>
      </c>
      <c r="V30" s="22">
        <f t="shared" si="8"/>
        <v>0</v>
      </c>
    </row>
    <row r="31" spans="2:25" x14ac:dyDescent="0.2">
      <c r="B31" s="22">
        <v>3</v>
      </c>
      <c r="C31" s="22"/>
      <c r="D31" s="22"/>
      <c r="E31" s="22"/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/>
      <c r="L31" s="22">
        <f t="shared" si="6"/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f t="shared" si="7"/>
        <v>0</v>
      </c>
      <c r="V31" s="22">
        <f t="shared" si="8"/>
        <v>0</v>
      </c>
    </row>
    <row r="33" spans="2:22" ht="18" x14ac:dyDescent="0.3">
      <c r="U33" s="37" t="s">
        <v>242</v>
      </c>
      <c r="V33" s="22">
        <f>SUM(V28:V31)</f>
        <v>60</v>
      </c>
    </row>
    <row r="34" spans="2:22" ht="18" x14ac:dyDescent="0.3">
      <c r="U34" s="37" t="s">
        <v>199</v>
      </c>
      <c r="V34" s="22">
        <f>IF(AND(AI!$C$9="T",V33&lt;$AB$5),0,IF(AND(AI!$C$9="T",V33&gt;$AB$5),3,IF(AND(AI!$C$9="AS",V33&lt;$AB$6),0,IF(AND(AI!$C$9="AS",V33&gt;$AB$6),3,IF(AND(AI!$C$9="AJ",V33&lt;$AB$7),0,IF(AND(AI!$C$9="AJ",V33&gt;$AB$7),3,IF(AND(AI!$C$9="JTP",V33&lt;$AB$8),0,IF(AND(AI!$C$9="JTP",V33&gt;$AB$8),3,IF(AND(AI!$C$9="AY1",V33&lt;$AB$9),0,IF(AND(AI!$C$9="AY1",V33&gt;$AB$9),3,IF(AND(AI!$C$9="AY2",V33=0),0,IF(AND(AI!$C$9="AY2",V33&gt;1),3,1))))))))))))</f>
        <v>3</v>
      </c>
    </row>
    <row r="36" spans="2:22" x14ac:dyDescent="0.2">
      <c r="B36" s="30" t="s">
        <v>156</v>
      </c>
      <c r="C36" s="30"/>
      <c r="D36" s="30"/>
      <c r="E36" s="30"/>
    </row>
    <row r="37" spans="2:22" x14ac:dyDescent="0.2">
      <c r="B37" s="25" t="s">
        <v>59</v>
      </c>
      <c r="C37" s="12" t="s">
        <v>166</v>
      </c>
      <c r="D37" s="13"/>
      <c r="E37" s="14"/>
      <c r="F37" s="2" t="s">
        <v>60</v>
      </c>
      <c r="G37" s="4"/>
      <c r="H37" s="4"/>
      <c r="I37" s="4"/>
      <c r="J37" s="4"/>
      <c r="K37" s="1" t="s">
        <v>82</v>
      </c>
      <c r="L37" s="25"/>
      <c r="M37" s="2" t="s">
        <v>83</v>
      </c>
      <c r="N37" s="4"/>
      <c r="O37" s="4"/>
      <c r="P37" s="4"/>
      <c r="Q37" s="4"/>
      <c r="R37" s="3"/>
      <c r="S37" s="3"/>
      <c r="T37" s="3"/>
      <c r="U37" s="55"/>
      <c r="V37" s="55"/>
    </row>
    <row r="38" spans="2:22" ht="18" x14ac:dyDescent="0.3">
      <c r="B38" s="67"/>
      <c r="C38" s="69" t="s">
        <v>53</v>
      </c>
      <c r="D38" s="69" t="s">
        <v>167</v>
      </c>
      <c r="E38" s="69" t="s">
        <v>168</v>
      </c>
      <c r="F38" s="37" t="s">
        <v>157</v>
      </c>
      <c r="G38" s="37" t="s">
        <v>158</v>
      </c>
      <c r="H38" s="37" t="s">
        <v>159</v>
      </c>
      <c r="I38" s="37" t="s">
        <v>160</v>
      </c>
      <c r="J38" s="68" t="s">
        <v>161</v>
      </c>
      <c r="K38" s="58"/>
      <c r="L38" s="15" t="s">
        <v>196</v>
      </c>
      <c r="M38" s="37" t="s">
        <v>189</v>
      </c>
      <c r="N38" s="37" t="s">
        <v>162</v>
      </c>
      <c r="O38" s="37" t="s">
        <v>163</v>
      </c>
      <c r="P38" s="37" t="s">
        <v>164</v>
      </c>
      <c r="Q38" s="37" t="s">
        <v>193</v>
      </c>
      <c r="R38" s="37" t="s">
        <v>165</v>
      </c>
      <c r="S38" s="37" t="s">
        <v>191</v>
      </c>
      <c r="T38" s="37" t="s">
        <v>192</v>
      </c>
      <c r="U38" s="15" t="s">
        <v>195</v>
      </c>
      <c r="V38" s="15" t="s">
        <v>194</v>
      </c>
    </row>
    <row r="39" spans="2:22" x14ac:dyDescent="0.2">
      <c r="B39" s="22">
        <v>4</v>
      </c>
      <c r="C39" s="22"/>
      <c r="D39" s="22"/>
      <c r="E39" s="22"/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/>
      <c r="L39" s="22">
        <f>IF(F39=1,$Y$5,IF(G39=1,$Y$6,IF(H39,$Y$7,IF(I39=1,$Y$8,IF(J39=1,$Y$9,0)))))+IF(K39="UN",$Y$13,IF(K39="PR",$Y$14,IF(K39="NAC",$Y$15,IF(K39="INT",$Y$16,IF(K39="NACINT",$Y$17,0)))))</f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f>IF(M39=1,$Y$21,0)+IF(N39=1,$Y$22,0)+IF(O39=1,$Y$23,0)+IF(P39=1,$Y$24,0)+IF(Q39=1,$Y$25,0)+IF(R39=1,$Y$26,0)+IF(S39=1,$Y61,0)+IF(T39=1,$Y$28,0)</f>
        <v>0</v>
      </c>
      <c r="V39" s="22">
        <f>L39+U39</f>
        <v>0</v>
      </c>
    </row>
    <row r="40" spans="2:22" x14ac:dyDescent="0.2">
      <c r="B40" s="22">
        <v>4</v>
      </c>
      <c r="C40" s="22"/>
      <c r="D40" s="22"/>
      <c r="E40" s="22"/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/>
      <c r="L40" s="22">
        <f t="shared" ref="L40:L42" si="9">IF(F40=1,$Y$5,IF(G40=1,$Y$6,IF(H40,$Y$7,IF(I40=1,$Y$8,IF(J40=1,$Y$9,0)))))+IF(K40="UN",$Y$13,IF(K40="PR",$Y$14,IF(K40="NAC",$Y$15,IF(K40="INT",$Y$16,IF(K40="NACINT",$Y$17,0)))))</f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f t="shared" ref="U40:U42" si="10">IF(M40=1,$Y$21,0)+IF(N40=1,$Y$22,0)+IF(O40=1,$Y$23,0)+IF(P40=1,$Y$24,0)+IF(Q40=1,$Y$25,0)+IF(R40=1,$Y$26,0)+IF(S40=1,$Y62,0)+IF(T40=1,$Y$28,0)</f>
        <v>0</v>
      </c>
      <c r="V40" s="22">
        <f t="shared" ref="V40:V42" si="11">L40+U40</f>
        <v>0</v>
      </c>
    </row>
    <row r="41" spans="2:22" x14ac:dyDescent="0.2">
      <c r="B41" s="22">
        <v>4</v>
      </c>
      <c r="C41" s="22"/>
      <c r="D41" s="22"/>
      <c r="E41" s="22"/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/>
      <c r="L41" s="22">
        <f t="shared" si="9"/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f t="shared" si="10"/>
        <v>0</v>
      </c>
      <c r="V41" s="22">
        <f t="shared" si="11"/>
        <v>0</v>
      </c>
    </row>
    <row r="42" spans="2:22" x14ac:dyDescent="0.2">
      <c r="B42" s="22">
        <v>4</v>
      </c>
      <c r="C42" s="22"/>
      <c r="D42" s="22"/>
      <c r="E42" s="22"/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/>
      <c r="L42" s="22">
        <f t="shared" si="9"/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f t="shared" si="10"/>
        <v>0</v>
      </c>
      <c r="V42" s="22">
        <f t="shared" si="11"/>
        <v>0</v>
      </c>
    </row>
    <row r="44" spans="2:22" ht="18" x14ac:dyDescent="0.3">
      <c r="U44" s="37" t="s">
        <v>243</v>
      </c>
      <c r="V44" s="22">
        <f>SUM(V39:V42)</f>
        <v>0</v>
      </c>
    </row>
    <row r="45" spans="2:22" ht="18" x14ac:dyDescent="0.3">
      <c r="U45" s="37" t="s">
        <v>200</v>
      </c>
      <c r="V45" s="22">
        <f>IF(AND(AI!$C$10="T",V44&lt;$AB$5),0,IF(AND(AI!$C$10="T",V44&gt;$AB$5),3,IF(AND(AI!$C$10="AS",V44&lt;$AB$6),0,IF(AND(AI!$C$10="AS",V44&gt;$AB$6),3,IF(AND(AI!$C$10="AJ",V44&lt;$AB$7),0,IF(AND(AI!$C$10="AJ",V44&gt;$AB$7),3,IF(AND(AI!$C$10="JTP",V44&lt;$AB$8),0,IF(AND(AI!$C$10="JTP",V44&gt;$AB$8),3,IF(AND(AI!$C$10="AY1",V44&lt;$AB$9),0,IF(AND(AI!$C$10="AY1",V44&gt;$AB$9),3,IF(AND(AI!$C$10="AY2",V44=0),0,IF(AND(AI!$C$10="AY2",V44&gt;1),3,1))))))))))))</f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54"/>
  <sheetViews>
    <sheetView topLeftCell="F1" workbookViewId="0">
      <selection activeCell="S15" sqref="S15:T19"/>
    </sheetView>
  </sheetViews>
  <sheetFormatPr baseColWidth="10" defaultRowHeight="15" x14ac:dyDescent="0.2"/>
  <cols>
    <col min="1" max="1" width="2.77734375" customWidth="1"/>
    <col min="2" max="2" width="8.88671875" customWidth="1"/>
    <col min="3" max="3" width="11.21875" customWidth="1"/>
    <col min="4" max="4" width="14.77734375" customWidth="1"/>
    <col min="5" max="5" width="14.33203125" customWidth="1"/>
    <col min="6" max="6" width="15.21875" customWidth="1"/>
    <col min="7" max="7" width="13.109375" customWidth="1"/>
    <col min="8" max="8" width="10.109375" customWidth="1"/>
    <col min="11" max="11" width="13.109375" customWidth="1"/>
    <col min="12" max="12" width="12.21875" customWidth="1"/>
    <col min="13" max="13" width="9.21875" customWidth="1"/>
    <col min="14" max="14" width="9.33203125" customWidth="1"/>
    <col min="15" max="15" width="9" customWidth="1"/>
    <col min="16" max="16" width="7.44140625" customWidth="1"/>
    <col min="17" max="17" width="8" customWidth="1"/>
    <col min="18" max="18" width="6.77734375" customWidth="1"/>
    <col min="19" max="19" width="22.44140625" customWidth="1"/>
    <col min="20" max="20" width="29.21875" customWidth="1"/>
    <col min="21" max="21" width="13.88671875" customWidth="1"/>
    <col min="22" max="22" width="23.6640625" customWidth="1"/>
    <col min="23" max="23" width="24.77734375" customWidth="1"/>
  </cols>
  <sheetData>
    <row r="2" spans="2:27" ht="15.75" x14ac:dyDescent="0.25">
      <c r="B2" s="30" t="s">
        <v>210</v>
      </c>
      <c r="S2" s="103" t="s">
        <v>341</v>
      </c>
    </row>
    <row r="3" spans="2:27" x14ac:dyDescent="0.2">
      <c r="B3" s="1" t="s">
        <v>59</v>
      </c>
      <c r="C3" s="2" t="s">
        <v>113</v>
      </c>
      <c r="D3" s="3"/>
      <c r="E3" s="5" t="s">
        <v>127</v>
      </c>
      <c r="F3" s="2" t="s">
        <v>307</v>
      </c>
      <c r="G3" s="3"/>
      <c r="H3" s="1"/>
      <c r="I3" s="2" t="s">
        <v>325</v>
      </c>
      <c r="J3" s="4"/>
      <c r="K3" s="4"/>
      <c r="L3" s="5" t="s">
        <v>127</v>
      </c>
      <c r="M3" s="2" t="s">
        <v>327</v>
      </c>
      <c r="N3" s="4"/>
      <c r="O3" s="5"/>
      <c r="P3" s="6"/>
      <c r="Q3" s="6"/>
      <c r="R3" s="104"/>
      <c r="S3" s="37" t="s">
        <v>307</v>
      </c>
      <c r="T3" s="37" t="s">
        <v>144</v>
      </c>
    </row>
    <row r="4" spans="2:27" ht="18" x14ac:dyDescent="0.3">
      <c r="B4" s="15"/>
      <c r="C4" s="37" t="s">
        <v>53</v>
      </c>
      <c r="D4" s="37" t="s">
        <v>324</v>
      </c>
      <c r="E4" s="15" t="s">
        <v>335</v>
      </c>
      <c r="F4" s="37" t="s">
        <v>206</v>
      </c>
      <c r="G4" s="37" t="s">
        <v>192</v>
      </c>
      <c r="H4" s="15" t="s">
        <v>334</v>
      </c>
      <c r="I4" s="70" t="s">
        <v>326</v>
      </c>
      <c r="J4" s="70" t="s">
        <v>190</v>
      </c>
      <c r="K4" s="12" t="s">
        <v>207</v>
      </c>
      <c r="L4" s="44" t="s">
        <v>336</v>
      </c>
      <c r="M4" s="70" t="s">
        <v>328</v>
      </c>
      <c r="N4" s="70" t="s">
        <v>329</v>
      </c>
      <c r="O4" s="70" t="s">
        <v>330</v>
      </c>
      <c r="P4" s="15" t="s">
        <v>337</v>
      </c>
      <c r="Q4" s="15" t="s">
        <v>345</v>
      </c>
      <c r="R4" s="97"/>
      <c r="S4" s="105" t="s">
        <v>333</v>
      </c>
      <c r="T4" s="22">
        <v>10</v>
      </c>
    </row>
    <row r="5" spans="2:27" x14ac:dyDescent="0.2">
      <c r="B5" s="22">
        <v>1</v>
      </c>
      <c r="C5" s="22" t="s">
        <v>331</v>
      </c>
      <c r="D5" s="22">
        <v>0</v>
      </c>
      <c r="E5" s="22">
        <f>IF(AND(C5="",D5=0),0,IF(D5=1,50,20))</f>
        <v>20</v>
      </c>
      <c r="F5" s="22">
        <v>1</v>
      </c>
      <c r="G5" s="22">
        <v>0</v>
      </c>
      <c r="H5" s="22">
        <f>IF(F5=1,$T$4,0)+IF(G5=1,$T$5,0)</f>
        <v>10</v>
      </c>
      <c r="I5" s="22">
        <v>1</v>
      </c>
      <c r="J5" s="22">
        <v>0</v>
      </c>
      <c r="K5" s="22">
        <v>0</v>
      </c>
      <c r="L5" s="22">
        <f>IF(I5=1,$T$10,0)+IF(J5=1,$T$11,0)+IF(K5=1,$T$12,0)</f>
        <v>5</v>
      </c>
      <c r="M5" s="22">
        <v>1</v>
      </c>
      <c r="N5" s="22">
        <v>0</v>
      </c>
      <c r="O5" s="22">
        <v>0</v>
      </c>
      <c r="P5" s="22">
        <f>IF(M5=1,$T$17,IF(N5=1,$T$18,IF(O5=1,$T$19,0)))</f>
        <v>20</v>
      </c>
      <c r="Q5" s="22">
        <f>E5+H5+L5+P5</f>
        <v>55</v>
      </c>
      <c r="R5" s="33"/>
      <c r="S5" s="22" t="s">
        <v>192</v>
      </c>
      <c r="T5" s="22">
        <v>20</v>
      </c>
    </row>
    <row r="6" spans="2:27" x14ac:dyDescent="0.2">
      <c r="B6" s="22">
        <v>1</v>
      </c>
      <c r="C6" s="22" t="s">
        <v>332</v>
      </c>
      <c r="D6" s="22">
        <v>1</v>
      </c>
      <c r="E6" s="22">
        <f t="shared" ref="E6:E10" si="0">IF(AND(C6="",D6=0),0,IF(D6=1,50,20))</f>
        <v>50</v>
      </c>
      <c r="F6" s="22">
        <v>0</v>
      </c>
      <c r="G6" s="22">
        <v>1</v>
      </c>
      <c r="H6" s="22">
        <f t="shared" ref="H6:H10" si="1">IF(F6=1,$T$4,0)+IF(G6=1,$T$5,0)</f>
        <v>20</v>
      </c>
      <c r="I6" s="22">
        <v>0</v>
      </c>
      <c r="J6" s="22">
        <v>0</v>
      </c>
      <c r="K6" s="22">
        <v>0</v>
      </c>
      <c r="L6" s="22">
        <f>IF(I6=1,$T$10,0)+IF(J6=1,$T$11,0)+IF(K6=1,$T$12,0)</f>
        <v>0</v>
      </c>
      <c r="M6" s="22">
        <v>0</v>
      </c>
      <c r="N6" s="22">
        <v>0</v>
      </c>
      <c r="O6" s="22">
        <v>0</v>
      </c>
      <c r="P6" s="22">
        <f t="shared" ref="P6:P10" si="2">IF(M6=1,$T$17,IF(N6=1,$T$18,IF(O6=1,$T$19,0)))</f>
        <v>0</v>
      </c>
      <c r="Q6" s="22">
        <f t="shared" ref="Q6:Q10" si="3">E6+H6+L6+P6</f>
        <v>70</v>
      </c>
      <c r="R6" s="33"/>
      <c r="S6" s="33"/>
      <c r="V6" s="48"/>
      <c r="W6" s="48"/>
    </row>
    <row r="7" spans="2:27" x14ac:dyDescent="0.2">
      <c r="B7" s="22">
        <v>1</v>
      </c>
      <c r="C7" s="22"/>
      <c r="D7" s="22">
        <v>0</v>
      </c>
      <c r="E7" s="22">
        <f t="shared" si="0"/>
        <v>0</v>
      </c>
      <c r="F7" s="22">
        <v>0</v>
      </c>
      <c r="G7" s="22">
        <v>0</v>
      </c>
      <c r="H7" s="22">
        <f t="shared" si="1"/>
        <v>0</v>
      </c>
      <c r="I7" s="22">
        <v>0</v>
      </c>
      <c r="J7" s="22">
        <v>0</v>
      </c>
      <c r="K7" s="22">
        <v>0</v>
      </c>
      <c r="L7" s="22">
        <f>IF(I7=1,$T$10,0)+IF(J7=1,$T$11,0)+IF(K7=1,$T$12,0)</f>
        <v>0</v>
      </c>
      <c r="M7" s="22">
        <v>0</v>
      </c>
      <c r="N7" s="22">
        <v>0</v>
      </c>
      <c r="O7" s="22">
        <v>0</v>
      </c>
      <c r="P7" s="22">
        <f t="shared" si="2"/>
        <v>0</v>
      </c>
      <c r="Q7" s="22">
        <f t="shared" si="3"/>
        <v>0</v>
      </c>
      <c r="R7" s="33"/>
      <c r="S7" s="33"/>
      <c r="V7" s="53"/>
      <c r="W7" s="33"/>
      <c r="Y7" s="33"/>
      <c r="Z7" s="33"/>
    </row>
    <row r="8" spans="2:27" x14ac:dyDescent="0.2">
      <c r="B8" s="22">
        <v>1</v>
      </c>
      <c r="C8" s="22"/>
      <c r="D8" s="22">
        <v>0</v>
      </c>
      <c r="E8" s="22">
        <f t="shared" si="0"/>
        <v>0</v>
      </c>
      <c r="F8" s="22">
        <v>0</v>
      </c>
      <c r="G8" s="22">
        <v>0</v>
      </c>
      <c r="H8" s="22">
        <f t="shared" si="1"/>
        <v>0</v>
      </c>
      <c r="I8" s="22">
        <v>0</v>
      </c>
      <c r="J8" s="22">
        <v>0</v>
      </c>
      <c r="K8" s="22">
        <v>0</v>
      </c>
      <c r="L8" s="22">
        <f>IF(I8=1,$T$10,0)+IF(J8=1,$T$11,0)+IF(K8=1,$T$12,0)</f>
        <v>0</v>
      </c>
      <c r="M8" s="22">
        <v>0</v>
      </c>
      <c r="N8" s="22">
        <v>0</v>
      </c>
      <c r="O8" s="22">
        <v>0</v>
      </c>
      <c r="P8" s="22">
        <f t="shared" si="2"/>
        <v>0</v>
      </c>
      <c r="Q8" s="22">
        <f t="shared" si="3"/>
        <v>0</v>
      </c>
      <c r="R8" s="33"/>
      <c r="S8" s="38" t="s">
        <v>338</v>
      </c>
      <c r="V8" s="53"/>
      <c r="W8" s="33"/>
      <c r="Y8" s="33"/>
      <c r="Z8" s="33"/>
    </row>
    <row r="9" spans="2:27" x14ac:dyDescent="0.2">
      <c r="B9" s="22">
        <v>1</v>
      </c>
      <c r="C9" s="22"/>
      <c r="D9" s="22">
        <v>0</v>
      </c>
      <c r="E9" s="22">
        <f t="shared" si="0"/>
        <v>0</v>
      </c>
      <c r="F9" s="22">
        <v>0</v>
      </c>
      <c r="G9" s="22">
        <v>0</v>
      </c>
      <c r="H9" s="22">
        <f t="shared" si="1"/>
        <v>0</v>
      </c>
      <c r="I9" s="22">
        <v>0</v>
      </c>
      <c r="J9" s="22">
        <v>0</v>
      </c>
      <c r="K9" s="22">
        <v>0</v>
      </c>
      <c r="L9" s="22">
        <f>IF(I9=1,$T$10,0)+IF(J9=1,$T$11,0)+IF(K9=1,$T$12,0)</f>
        <v>0</v>
      </c>
      <c r="M9" s="22">
        <v>0</v>
      </c>
      <c r="N9" s="22">
        <v>0</v>
      </c>
      <c r="O9" s="22">
        <v>0</v>
      </c>
      <c r="P9" s="22">
        <f t="shared" si="2"/>
        <v>0</v>
      </c>
      <c r="Q9" s="22">
        <f t="shared" si="3"/>
        <v>0</v>
      </c>
      <c r="R9" s="33"/>
      <c r="S9" s="1" t="s">
        <v>60</v>
      </c>
      <c r="T9" s="1" t="s">
        <v>144</v>
      </c>
      <c r="Z9" s="33"/>
      <c r="AA9" s="33"/>
    </row>
    <row r="10" spans="2:27" x14ac:dyDescent="0.2">
      <c r="B10" s="22">
        <v>1</v>
      </c>
      <c r="C10" s="22"/>
      <c r="D10" s="22">
        <v>0</v>
      </c>
      <c r="E10" s="22">
        <f t="shared" si="0"/>
        <v>0</v>
      </c>
      <c r="F10" s="22">
        <v>0</v>
      </c>
      <c r="G10" s="22">
        <v>0</v>
      </c>
      <c r="H10" s="22">
        <f t="shared" si="1"/>
        <v>0</v>
      </c>
      <c r="I10" s="22">
        <v>0</v>
      </c>
      <c r="J10" s="22">
        <v>0</v>
      </c>
      <c r="K10" s="22">
        <v>0</v>
      </c>
      <c r="L10" s="22">
        <f>IF(I10=1,$T$10,0)+IF(J10=1,$T$11,0)+IF(K10=1,$T$12,0)</f>
        <v>0</v>
      </c>
      <c r="M10" s="22">
        <v>0</v>
      </c>
      <c r="N10" s="22">
        <v>0</v>
      </c>
      <c r="O10" s="22">
        <v>0</v>
      </c>
      <c r="P10" s="22">
        <f t="shared" si="2"/>
        <v>0</v>
      </c>
      <c r="Q10" s="22">
        <f t="shared" si="3"/>
        <v>0</v>
      </c>
      <c r="R10" s="33"/>
      <c r="S10" s="16" t="s">
        <v>162</v>
      </c>
      <c r="T10" s="16">
        <v>5</v>
      </c>
    </row>
    <row r="11" spans="2:27" x14ac:dyDescent="0.2">
      <c r="S11" s="18" t="s">
        <v>190</v>
      </c>
      <c r="T11" s="18">
        <v>15</v>
      </c>
      <c r="U11" s="97"/>
    </row>
    <row r="12" spans="2:27" ht="18" x14ac:dyDescent="0.3">
      <c r="P12" s="37" t="s">
        <v>244</v>
      </c>
      <c r="Q12" s="22">
        <f>SUM(Q5:Q10)</f>
        <v>125</v>
      </c>
      <c r="S12" s="20" t="s">
        <v>207</v>
      </c>
      <c r="T12" s="20">
        <v>5</v>
      </c>
      <c r="U12" s="33"/>
    </row>
    <row r="13" spans="2:27" ht="18" x14ac:dyDescent="0.3">
      <c r="P13" s="37" t="s">
        <v>208</v>
      </c>
      <c r="Q13" s="22">
        <f>IF(Q12&lt;1,0,IF(Q12&lt;50,1,3))</f>
        <v>3</v>
      </c>
      <c r="S13" s="33"/>
      <c r="U13" s="33"/>
    </row>
    <row r="14" spans="2:27" x14ac:dyDescent="0.2">
      <c r="S14" s="33"/>
      <c r="T14" s="33"/>
      <c r="U14" s="33"/>
    </row>
    <row r="15" spans="2:27" x14ac:dyDescent="0.2">
      <c r="B15" s="30" t="s">
        <v>210</v>
      </c>
      <c r="S15" t="s">
        <v>339</v>
      </c>
      <c r="T15" s="33"/>
      <c r="U15" s="33"/>
    </row>
    <row r="16" spans="2:27" x14ac:dyDescent="0.2">
      <c r="B16" s="1" t="s">
        <v>59</v>
      </c>
      <c r="C16" s="2" t="s">
        <v>113</v>
      </c>
      <c r="D16" s="3"/>
      <c r="E16" s="5" t="s">
        <v>127</v>
      </c>
      <c r="F16" s="2" t="s">
        <v>307</v>
      </c>
      <c r="G16" s="3"/>
      <c r="H16" s="1"/>
      <c r="I16" s="2" t="s">
        <v>325</v>
      </c>
      <c r="J16" s="4"/>
      <c r="K16" s="4"/>
      <c r="L16" s="5" t="s">
        <v>127</v>
      </c>
      <c r="M16" s="2" t="s">
        <v>327</v>
      </c>
      <c r="N16" s="4"/>
      <c r="O16" s="5"/>
      <c r="P16" s="6"/>
      <c r="Q16" s="6"/>
      <c r="S16" s="1" t="s">
        <v>327</v>
      </c>
      <c r="T16" s="1" t="s">
        <v>144</v>
      </c>
      <c r="U16" s="33"/>
    </row>
    <row r="17" spans="2:20" ht="18" x14ac:dyDescent="0.3">
      <c r="B17" s="15"/>
      <c r="C17" s="37" t="s">
        <v>53</v>
      </c>
      <c r="D17" s="37" t="s">
        <v>324</v>
      </c>
      <c r="E17" s="15" t="s">
        <v>335</v>
      </c>
      <c r="F17" s="37" t="s">
        <v>206</v>
      </c>
      <c r="G17" s="37" t="s">
        <v>192</v>
      </c>
      <c r="H17" s="15" t="s">
        <v>334</v>
      </c>
      <c r="I17" s="70" t="s">
        <v>326</v>
      </c>
      <c r="J17" s="70" t="s">
        <v>190</v>
      </c>
      <c r="K17" s="12" t="s">
        <v>207</v>
      </c>
      <c r="L17" s="44" t="s">
        <v>336</v>
      </c>
      <c r="M17" s="70" t="s">
        <v>328</v>
      </c>
      <c r="N17" s="70" t="s">
        <v>329</v>
      </c>
      <c r="O17" s="70" t="s">
        <v>330</v>
      </c>
      <c r="P17" s="15" t="s">
        <v>337</v>
      </c>
      <c r="Q17" s="15" t="s">
        <v>345</v>
      </c>
      <c r="S17" s="16" t="s">
        <v>328</v>
      </c>
      <c r="T17" s="16">
        <v>20</v>
      </c>
    </row>
    <row r="18" spans="2:20" x14ac:dyDescent="0.2">
      <c r="B18" s="22">
        <v>2</v>
      </c>
      <c r="C18" s="22" t="s">
        <v>353</v>
      </c>
      <c r="D18" s="22">
        <v>1</v>
      </c>
      <c r="E18" s="22">
        <f>IF(AND(C18="",D18=0),0,IF(D18=1,50,20))</f>
        <v>50</v>
      </c>
      <c r="F18" s="22">
        <v>1</v>
      </c>
      <c r="G18" s="22">
        <v>0</v>
      </c>
      <c r="H18" s="22">
        <f>IF(F18=1,$T$4,0)+IF(G18=1,$T$5,0)</f>
        <v>10</v>
      </c>
      <c r="I18" s="22">
        <v>0</v>
      </c>
      <c r="J18" s="22">
        <v>1</v>
      </c>
      <c r="K18" s="22">
        <v>0</v>
      </c>
      <c r="L18" s="22">
        <f>IF(I18=1,$T$10,0)+IF(J18=1,$T$11,0)+IF(K18=1,$T$12,0)</f>
        <v>15</v>
      </c>
      <c r="M18" s="22">
        <v>1</v>
      </c>
      <c r="N18" s="22">
        <v>0</v>
      </c>
      <c r="O18" s="22">
        <v>0</v>
      </c>
      <c r="P18" s="22">
        <f>IF(M18=1,$T$17,IF(N18=1,$T$18,IF(O18=1,$T$19,0)))</f>
        <v>20</v>
      </c>
      <c r="Q18" s="22">
        <f>E18+H18+L18+P18</f>
        <v>95</v>
      </c>
      <c r="S18" s="18" t="s">
        <v>329</v>
      </c>
      <c r="T18" s="18">
        <v>30</v>
      </c>
    </row>
    <row r="19" spans="2:20" x14ac:dyDescent="0.2">
      <c r="B19" s="22">
        <v>2</v>
      </c>
      <c r="C19" s="22"/>
      <c r="D19" s="22">
        <v>0</v>
      </c>
      <c r="E19" s="22">
        <f t="shared" ref="E19:E23" si="4">IF(AND(C19="",D19=0),0,IF(D19=1,50,20))</f>
        <v>0</v>
      </c>
      <c r="F19" s="22">
        <v>0</v>
      </c>
      <c r="G19" s="22">
        <v>1</v>
      </c>
      <c r="H19" s="22">
        <f t="shared" ref="H19:H23" si="5">IF(F19=1,$T$4,0)+IF(G19=1,$T$5,0)</f>
        <v>20</v>
      </c>
      <c r="I19" s="22">
        <v>0</v>
      </c>
      <c r="J19" s="22">
        <v>0</v>
      </c>
      <c r="K19" s="22">
        <v>0</v>
      </c>
      <c r="L19" s="22">
        <f>IF(I19=1,$T$10,0)+IF(J19=1,$T$11,0)+IF(K19=1,$T$12,0)</f>
        <v>0</v>
      </c>
      <c r="M19" s="22">
        <v>0</v>
      </c>
      <c r="N19" s="22">
        <v>0</v>
      </c>
      <c r="O19" s="22">
        <v>0</v>
      </c>
      <c r="P19" s="22">
        <f t="shared" ref="P19:P23" si="6">IF(M19=1,$T$17,IF(N19=1,$T$18,IF(O19=1,$T$19,0)))</f>
        <v>0</v>
      </c>
      <c r="Q19" s="22">
        <f t="shared" ref="Q19:Q23" si="7">E19+H19+L19+P19</f>
        <v>20</v>
      </c>
      <c r="S19" s="20" t="s">
        <v>340</v>
      </c>
      <c r="T19" s="20">
        <v>50</v>
      </c>
    </row>
    <row r="20" spans="2:20" x14ac:dyDescent="0.2">
      <c r="B20" s="22">
        <v>2</v>
      </c>
      <c r="C20" s="22"/>
      <c r="D20" s="22">
        <v>0</v>
      </c>
      <c r="E20" s="22">
        <f t="shared" si="4"/>
        <v>0</v>
      </c>
      <c r="F20" s="22">
        <v>0</v>
      </c>
      <c r="G20" s="22">
        <v>0</v>
      </c>
      <c r="H20" s="22">
        <f t="shared" si="5"/>
        <v>0</v>
      </c>
      <c r="I20" s="22">
        <v>0</v>
      </c>
      <c r="J20" s="22">
        <v>0</v>
      </c>
      <c r="K20" s="22">
        <v>0</v>
      </c>
      <c r="L20" s="22">
        <f>IF(I20=1,$T$10,0)+IF(J20=1,$T$11,0)+IF(K20=1,$T$12,0)</f>
        <v>0</v>
      </c>
      <c r="M20" s="22">
        <v>0</v>
      </c>
      <c r="N20" s="22">
        <v>0</v>
      </c>
      <c r="O20" s="22">
        <v>0</v>
      </c>
      <c r="P20" s="22">
        <f t="shared" si="6"/>
        <v>0</v>
      </c>
      <c r="Q20" s="22">
        <f t="shared" si="7"/>
        <v>0</v>
      </c>
    </row>
    <row r="21" spans="2:20" x14ac:dyDescent="0.2">
      <c r="B21" s="22">
        <v>2</v>
      </c>
      <c r="C21" s="22"/>
      <c r="D21" s="22">
        <v>0</v>
      </c>
      <c r="E21" s="22">
        <f t="shared" si="4"/>
        <v>0</v>
      </c>
      <c r="F21" s="22">
        <v>0</v>
      </c>
      <c r="G21" s="22">
        <v>0</v>
      </c>
      <c r="H21" s="22">
        <f t="shared" si="5"/>
        <v>0</v>
      </c>
      <c r="I21" s="22">
        <v>0</v>
      </c>
      <c r="J21" s="22">
        <v>0</v>
      </c>
      <c r="K21" s="22">
        <v>0</v>
      </c>
      <c r="L21" s="22">
        <f>IF(I21=1,$T$10,0)+IF(J21=1,$T$11,0)+IF(K21=1,$T$12,0)</f>
        <v>0</v>
      </c>
      <c r="M21" s="22">
        <v>0</v>
      </c>
      <c r="N21" s="22">
        <v>0</v>
      </c>
      <c r="O21" s="22">
        <v>0</v>
      </c>
      <c r="P21" s="22">
        <f t="shared" si="6"/>
        <v>0</v>
      </c>
      <c r="Q21" s="22">
        <f t="shared" si="7"/>
        <v>0</v>
      </c>
    </row>
    <row r="22" spans="2:20" ht="19.5" x14ac:dyDescent="0.35">
      <c r="B22" s="22">
        <v>2</v>
      </c>
      <c r="C22" s="22"/>
      <c r="D22" s="22">
        <v>0</v>
      </c>
      <c r="E22" s="22">
        <f t="shared" si="4"/>
        <v>0</v>
      </c>
      <c r="F22" s="22">
        <v>0</v>
      </c>
      <c r="G22" s="22">
        <v>0</v>
      </c>
      <c r="H22" s="22">
        <f t="shared" si="5"/>
        <v>0</v>
      </c>
      <c r="I22" s="22">
        <v>0</v>
      </c>
      <c r="J22" s="22">
        <v>0</v>
      </c>
      <c r="K22" s="22">
        <v>0</v>
      </c>
      <c r="L22" s="22">
        <f>IF(I22=1,$T$10,0)+IF(J22=1,$T$11,0)+IF(K22=1,$T$12,0)</f>
        <v>0</v>
      </c>
      <c r="M22" s="22">
        <v>0</v>
      </c>
      <c r="N22" s="22">
        <v>0</v>
      </c>
      <c r="O22" s="22">
        <v>0</v>
      </c>
      <c r="P22" s="22">
        <f t="shared" si="6"/>
        <v>0</v>
      </c>
      <c r="Q22" s="22">
        <f t="shared" si="7"/>
        <v>0</v>
      </c>
      <c r="S22" s="38" t="s">
        <v>351</v>
      </c>
    </row>
    <row r="23" spans="2:20" ht="18" x14ac:dyDescent="0.3">
      <c r="B23" s="22">
        <v>2</v>
      </c>
      <c r="C23" s="22"/>
      <c r="D23" s="22">
        <v>0</v>
      </c>
      <c r="E23" s="22">
        <f t="shared" si="4"/>
        <v>0</v>
      </c>
      <c r="F23" s="22">
        <v>0</v>
      </c>
      <c r="G23" s="22">
        <v>0</v>
      </c>
      <c r="H23" s="22">
        <f t="shared" si="5"/>
        <v>0</v>
      </c>
      <c r="I23" s="22">
        <v>0</v>
      </c>
      <c r="J23" s="22">
        <v>0</v>
      </c>
      <c r="K23" s="22">
        <v>0</v>
      </c>
      <c r="L23" s="22">
        <f>IF(I23=1,$T$10,0)+IF(J23=1,$T$11,0)+IF(K23=1,$T$12,0)</f>
        <v>0</v>
      </c>
      <c r="M23" s="22">
        <v>0</v>
      </c>
      <c r="N23" s="22">
        <v>0</v>
      </c>
      <c r="O23" s="22">
        <v>0</v>
      </c>
      <c r="P23" s="22">
        <f t="shared" si="6"/>
        <v>0</v>
      </c>
      <c r="Q23" s="22">
        <f t="shared" si="7"/>
        <v>0</v>
      </c>
      <c r="S23" s="37" t="s">
        <v>352</v>
      </c>
      <c r="T23" s="37" t="s">
        <v>257</v>
      </c>
    </row>
    <row r="24" spans="2:20" x14ac:dyDescent="0.2">
      <c r="S24" s="22" t="s">
        <v>209</v>
      </c>
      <c r="T24" s="22">
        <v>0</v>
      </c>
    </row>
    <row r="25" spans="2:20" ht="18" x14ac:dyDescent="0.3">
      <c r="P25" s="37" t="s">
        <v>245</v>
      </c>
      <c r="Q25" s="22">
        <f>SUM(Q18:Q23)</f>
        <v>115</v>
      </c>
      <c r="S25" s="71" t="s">
        <v>347</v>
      </c>
      <c r="T25" s="22">
        <v>1</v>
      </c>
    </row>
    <row r="26" spans="2:20" ht="18" x14ac:dyDescent="0.3">
      <c r="P26" s="37" t="s">
        <v>246</v>
      </c>
      <c r="Q26" s="22">
        <f>IF(Q25&lt;1,0,IF(Q25&lt;50,1,3))</f>
        <v>3</v>
      </c>
      <c r="S26" s="22" t="s">
        <v>346</v>
      </c>
      <c r="T26" s="22">
        <v>3</v>
      </c>
    </row>
    <row r="27" spans="2:20" x14ac:dyDescent="0.2">
      <c r="M27" s="97"/>
      <c r="N27" s="53"/>
    </row>
    <row r="29" spans="2:20" x14ac:dyDescent="0.2">
      <c r="B29" s="30" t="s">
        <v>210</v>
      </c>
    </row>
    <row r="30" spans="2:20" x14ac:dyDescent="0.2">
      <c r="B30" s="1" t="s">
        <v>59</v>
      </c>
      <c r="C30" s="2" t="s">
        <v>113</v>
      </c>
      <c r="D30" s="3"/>
      <c r="E30" s="5" t="s">
        <v>127</v>
      </c>
      <c r="F30" s="2" t="s">
        <v>307</v>
      </c>
      <c r="G30" s="3"/>
      <c r="H30" s="1"/>
      <c r="I30" s="2" t="s">
        <v>325</v>
      </c>
      <c r="J30" s="4"/>
      <c r="K30" s="4"/>
      <c r="L30" s="5" t="s">
        <v>127</v>
      </c>
      <c r="M30" s="2" t="s">
        <v>327</v>
      </c>
      <c r="N30" s="4"/>
      <c r="O30" s="5"/>
      <c r="P30" s="6"/>
      <c r="Q30" s="6"/>
    </row>
    <row r="31" spans="2:20" ht="18" x14ac:dyDescent="0.3">
      <c r="B31" s="15"/>
      <c r="C31" s="37" t="s">
        <v>53</v>
      </c>
      <c r="D31" s="37" t="s">
        <v>324</v>
      </c>
      <c r="E31" s="15" t="s">
        <v>335</v>
      </c>
      <c r="F31" s="37" t="s">
        <v>206</v>
      </c>
      <c r="G31" s="37" t="s">
        <v>192</v>
      </c>
      <c r="H31" s="15" t="s">
        <v>334</v>
      </c>
      <c r="I31" s="70" t="s">
        <v>326</v>
      </c>
      <c r="J31" s="70" t="s">
        <v>190</v>
      </c>
      <c r="K31" s="12" t="s">
        <v>207</v>
      </c>
      <c r="L31" s="44" t="s">
        <v>336</v>
      </c>
      <c r="M31" s="70" t="s">
        <v>328</v>
      </c>
      <c r="N31" s="70" t="s">
        <v>329</v>
      </c>
      <c r="O31" s="70" t="s">
        <v>330</v>
      </c>
      <c r="P31" s="15" t="s">
        <v>337</v>
      </c>
      <c r="Q31" s="15" t="s">
        <v>345</v>
      </c>
    </row>
    <row r="32" spans="2:20" x14ac:dyDescent="0.2">
      <c r="B32" s="22">
        <v>3</v>
      </c>
      <c r="C32" s="22" t="s">
        <v>354</v>
      </c>
      <c r="D32" s="22">
        <v>1</v>
      </c>
      <c r="E32" s="22">
        <f>IF(AND(C32="",D32=0),0,IF(D32=1,50,20))</f>
        <v>50</v>
      </c>
      <c r="F32" s="22">
        <v>1</v>
      </c>
      <c r="G32" s="22">
        <v>0</v>
      </c>
      <c r="H32" s="22">
        <f>IF(F32=1,$T$4,0)+IF(G32=1,$T$5,0)</f>
        <v>10</v>
      </c>
      <c r="I32" s="22">
        <v>0</v>
      </c>
      <c r="J32" s="22">
        <v>0</v>
      </c>
      <c r="K32" s="22">
        <v>0</v>
      </c>
      <c r="L32" s="22">
        <f>IF(I32=1,$T$10,0)+IF(J32=1,$T$11,0)+IF(K32=1,$T$12,0)</f>
        <v>0</v>
      </c>
      <c r="M32" s="22">
        <v>1</v>
      </c>
      <c r="N32" s="22">
        <v>0</v>
      </c>
      <c r="O32" s="22">
        <v>0</v>
      </c>
      <c r="P32" s="22">
        <f>IF(M32=1,$T$17,IF(N32=1,$T$18,IF(O32=1,$T$19,0)))</f>
        <v>20</v>
      </c>
      <c r="Q32" s="22">
        <f>E32+H32+L32+P32</f>
        <v>80</v>
      </c>
    </row>
    <row r="33" spans="2:17" x14ac:dyDescent="0.2">
      <c r="B33" s="22">
        <v>3</v>
      </c>
      <c r="C33" s="22"/>
      <c r="D33" s="22">
        <v>0</v>
      </c>
      <c r="E33" s="22">
        <f t="shared" ref="E33:E37" si="8">IF(AND(C33="",D33=0),0,IF(D33=1,50,20))</f>
        <v>0</v>
      </c>
      <c r="F33" s="22">
        <v>0</v>
      </c>
      <c r="G33" s="22">
        <v>0</v>
      </c>
      <c r="H33" s="22">
        <f t="shared" ref="H33:H37" si="9">IF(F33=1,$T$4,0)+IF(G33=1,$T$5,0)</f>
        <v>0</v>
      </c>
      <c r="I33" s="22">
        <v>0</v>
      </c>
      <c r="J33" s="22">
        <v>0</v>
      </c>
      <c r="K33" s="22">
        <v>0</v>
      </c>
      <c r="L33" s="22">
        <f>IF(I33=1,$T$10,0)+IF(J33=1,$T$11,0)+IF(K33=1,$T$12,0)</f>
        <v>0</v>
      </c>
      <c r="M33" s="22">
        <v>0</v>
      </c>
      <c r="N33" s="22">
        <v>0</v>
      </c>
      <c r="O33" s="22">
        <v>0</v>
      </c>
      <c r="P33" s="22">
        <f t="shared" ref="P33:P37" si="10">IF(M33=1,$T$17,IF(N33=1,$T$18,IF(O33=1,$T$19,0)))</f>
        <v>0</v>
      </c>
      <c r="Q33" s="22">
        <f t="shared" ref="Q33:Q37" si="11">E33+H33+L33+P33</f>
        <v>0</v>
      </c>
    </row>
    <row r="34" spans="2:17" x14ac:dyDescent="0.2">
      <c r="B34" s="22">
        <v>3</v>
      </c>
      <c r="C34" s="22"/>
      <c r="D34" s="22">
        <v>0</v>
      </c>
      <c r="E34" s="22">
        <f t="shared" si="8"/>
        <v>0</v>
      </c>
      <c r="F34" s="22">
        <v>0</v>
      </c>
      <c r="G34" s="22">
        <v>0</v>
      </c>
      <c r="H34" s="22">
        <f t="shared" si="9"/>
        <v>0</v>
      </c>
      <c r="I34" s="22">
        <v>0</v>
      </c>
      <c r="J34" s="22">
        <v>0</v>
      </c>
      <c r="K34" s="22">
        <v>0</v>
      </c>
      <c r="L34" s="22">
        <f>IF(I34=1,$T$10,0)+IF(J34=1,$T$11,0)+IF(K34=1,$T$12,0)</f>
        <v>0</v>
      </c>
      <c r="M34" s="22">
        <v>0</v>
      </c>
      <c r="N34" s="22">
        <v>0</v>
      </c>
      <c r="O34" s="22">
        <v>0</v>
      </c>
      <c r="P34" s="22">
        <f t="shared" si="10"/>
        <v>0</v>
      </c>
      <c r="Q34" s="22">
        <f t="shared" si="11"/>
        <v>0</v>
      </c>
    </row>
    <row r="35" spans="2:17" x14ac:dyDescent="0.2">
      <c r="B35" s="22">
        <v>3</v>
      </c>
      <c r="C35" s="22"/>
      <c r="D35" s="22">
        <v>0</v>
      </c>
      <c r="E35" s="22">
        <f t="shared" si="8"/>
        <v>0</v>
      </c>
      <c r="F35" s="22">
        <v>0</v>
      </c>
      <c r="G35" s="22">
        <v>0</v>
      </c>
      <c r="H35" s="22">
        <f t="shared" si="9"/>
        <v>0</v>
      </c>
      <c r="I35" s="22">
        <v>0</v>
      </c>
      <c r="J35" s="22">
        <v>0</v>
      </c>
      <c r="K35" s="22">
        <v>0</v>
      </c>
      <c r="L35" s="22">
        <f>IF(I35=1,$T$10,0)+IF(J35=1,$T$11,0)+IF(K35=1,$T$12,0)</f>
        <v>0</v>
      </c>
      <c r="M35" s="22">
        <v>0</v>
      </c>
      <c r="N35" s="22">
        <v>0</v>
      </c>
      <c r="O35" s="22">
        <v>0</v>
      </c>
      <c r="P35" s="22">
        <f t="shared" si="10"/>
        <v>0</v>
      </c>
      <c r="Q35" s="22">
        <f t="shared" si="11"/>
        <v>0</v>
      </c>
    </row>
    <row r="36" spans="2:17" x14ac:dyDescent="0.2">
      <c r="B36" s="22">
        <v>3</v>
      </c>
      <c r="C36" s="22"/>
      <c r="D36" s="22">
        <v>0</v>
      </c>
      <c r="E36" s="22">
        <f t="shared" si="8"/>
        <v>0</v>
      </c>
      <c r="F36" s="22">
        <v>0</v>
      </c>
      <c r="G36" s="22">
        <v>0</v>
      </c>
      <c r="H36" s="22">
        <f t="shared" si="9"/>
        <v>0</v>
      </c>
      <c r="I36" s="22">
        <v>0</v>
      </c>
      <c r="J36" s="22">
        <v>0</v>
      </c>
      <c r="K36" s="22">
        <v>0</v>
      </c>
      <c r="L36" s="22">
        <f>IF(I36=1,$T$10,0)+IF(J36=1,$T$11,0)+IF(K36=1,$T$12,0)</f>
        <v>0</v>
      </c>
      <c r="M36" s="22">
        <v>0</v>
      </c>
      <c r="N36" s="22">
        <v>0</v>
      </c>
      <c r="O36" s="22">
        <v>0</v>
      </c>
      <c r="P36" s="22">
        <f t="shared" si="10"/>
        <v>0</v>
      </c>
      <c r="Q36" s="22">
        <f t="shared" si="11"/>
        <v>0</v>
      </c>
    </row>
    <row r="37" spans="2:17" x14ac:dyDescent="0.2">
      <c r="B37" s="22">
        <v>3</v>
      </c>
      <c r="C37" s="22"/>
      <c r="D37" s="22">
        <v>0</v>
      </c>
      <c r="E37" s="22">
        <f t="shared" si="8"/>
        <v>0</v>
      </c>
      <c r="F37" s="22">
        <v>0</v>
      </c>
      <c r="G37" s="22">
        <v>0</v>
      </c>
      <c r="H37" s="22">
        <f t="shared" si="9"/>
        <v>0</v>
      </c>
      <c r="I37" s="22">
        <v>0</v>
      </c>
      <c r="J37" s="22">
        <v>0</v>
      </c>
      <c r="K37" s="22">
        <v>0</v>
      </c>
      <c r="L37" s="22">
        <f>IF(I37=1,$T$10,0)+IF(J37=1,$T$11,0)+IF(K37=1,$T$12,0)</f>
        <v>0</v>
      </c>
      <c r="M37" s="22">
        <v>0</v>
      </c>
      <c r="N37" s="22">
        <v>0</v>
      </c>
      <c r="O37" s="22">
        <v>0</v>
      </c>
      <c r="P37" s="22">
        <f t="shared" si="10"/>
        <v>0</v>
      </c>
      <c r="Q37" s="22">
        <f t="shared" si="11"/>
        <v>0</v>
      </c>
    </row>
    <row r="39" spans="2:17" ht="18" x14ac:dyDescent="0.3">
      <c r="P39" s="37" t="s">
        <v>247</v>
      </c>
      <c r="Q39" s="22">
        <f>SUM(Q32:Q37)</f>
        <v>80</v>
      </c>
    </row>
    <row r="40" spans="2:17" ht="18" x14ac:dyDescent="0.3">
      <c r="P40" s="37" t="s">
        <v>248</v>
      </c>
      <c r="Q40" s="22">
        <f>IF(Q39&lt;1,0,IF(Q39&lt;50,1,3))</f>
        <v>3</v>
      </c>
    </row>
    <row r="41" spans="2:17" x14ac:dyDescent="0.2">
      <c r="M41" s="97"/>
      <c r="N41" s="53"/>
    </row>
    <row r="43" spans="2:17" x14ac:dyDescent="0.2">
      <c r="B43" s="30" t="s">
        <v>210</v>
      </c>
    </row>
    <row r="44" spans="2:17" x14ac:dyDescent="0.2">
      <c r="B44" s="1" t="s">
        <v>59</v>
      </c>
      <c r="C44" s="2" t="s">
        <v>113</v>
      </c>
      <c r="D44" s="3"/>
      <c r="E44" s="5" t="s">
        <v>127</v>
      </c>
      <c r="F44" s="2" t="s">
        <v>307</v>
      </c>
      <c r="G44" s="3"/>
      <c r="H44" s="1"/>
      <c r="I44" s="2" t="s">
        <v>325</v>
      </c>
      <c r="J44" s="4"/>
      <c r="K44" s="4"/>
      <c r="L44" s="5" t="s">
        <v>127</v>
      </c>
      <c r="M44" s="2" t="s">
        <v>327</v>
      </c>
      <c r="N44" s="4"/>
      <c r="O44" s="5"/>
      <c r="P44" s="6"/>
      <c r="Q44" s="6"/>
    </row>
    <row r="45" spans="2:17" ht="18" x14ac:dyDescent="0.3">
      <c r="B45" s="15"/>
      <c r="C45" s="37" t="s">
        <v>53</v>
      </c>
      <c r="D45" s="37" t="s">
        <v>324</v>
      </c>
      <c r="E45" s="15" t="s">
        <v>335</v>
      </c>
      <c r="F45" s="37" t="s">
        <v>206</v>
      </c>
      <c r="G45" s="37" t="s">
        <v>192</v>
      </c>
      <c r="H45" s="15" t="s">
        <v>334</v>
      </c>
      <c r="I45" s="70" t="s">
        <v>326</v>
      </c>
      <c r="J45" s="70" t="s">
        <v>190</v>
      </c>
      <c r="K45" s="12" t="s">
        <v>207</v>
      </c>
      <c r="L45" s="44" t="s">
        <v>336</v>
      </c>
      <c r="M45" s="70" t="s">
        <v>328</v>
      </c>
      <c r="N45" s="70" t="s">
        <v>329</v>
      </c>
      <c r="O45" s="70" t="s">
        <v>330</v>
      </c>
      <c r="P45" s="15" t="s">
        <v>337</v>
      </c>
      <c r="Q45" s="15" t="s">
        <v>345</v>
      </c>
    </row>
    <row r="46" spans="2:17" x14ac:dyDescent="0.2">
      <c r="B46" s="22">
        <v>4</v>
      </c>
      <c r="C46" s="22" t="s">
        <v>354</v>
      </c>
      <c r="D46" s="22">
        <v>1</v>
      </c>
      <c r="E46" s="22">
        <f>IF(AND(C46="",D46=0),0,IF(D46=1,50,20))</f>
        <v>50</v>
      </c>
      <c r="F46" s="22">
        <v>1</v>
      </c>
      <c r="G46" s="22">
        <v>0</v>
      </c>
      <c r="H46" s="22">
        <f>IF(F46=1,$T$4,0)+IF(G46=1,$T$5,0)</f>
        <v>10</v>
      </c>
      <c r="I46" s="22">
        <v>0</v>
      </c>
      <c r="J46" s="22">
        <v>1</v>
      </c>
      <c r="K46" s="22">
        <v>0</v>
      </c>
      <c r="L46" s="22">
        <f>IF(I46=1,$T$10,0)+IF(J46=1,$T$11,0)+IF(K46=1,$T$12,0)</f>
        <v>15</v>
      </c>
      <c r="M46" s="22">
        <v>1</v>
      </c>
      <c r="N46" s="22">
        <v>0</v>
      </c>
      <c r="O46" s="22">
        <v>0</v>
      </c>
      <c r="P46" s="22">
        <f>IF(M46=1,$T$17,IF(N46=1,$T$18,IF(O46=1,$T$19,0)))</f>
        <v>20</v>
      </c>
      <c r="Q46" s="22">
        <f>E46+H46+L46+P46</f>
        <v>95</v>
      </c>
    </row>
    <row r="47" spans="2:17" x14ac:dyDescent="0.2">
      <c r="B47" s="22">
        <v>4</v>
      </c>
      <c r="C47" s="22"/>
      <c r="D47" s="22"/>
      <c r="E47" s="22">
        <f t="shared" ref="E47:E51" si="12">IF(AND(C47="",D47=0),0,IF(D47=1,50,20))</f>
        <v>0</v>
      </c>
      <c r="F47" s="22">
        <v>0</v>
      </c>
      <c r="G47" s="22">
        <v>0</v>
      </c>
      <c r="H47" s="22">
        <f t="shared" ref="H47:H51" si="13">IF(F47=1,$T$4,0)+IF(G47=1,$T$5,0)</f>
        <v>0</v>
      </c>
      <c r="I47" s="22">
        <v>0</v>
      </c>
      <c r="J47" s="22">
        <v>0</v>
      </c>
      <c r="K47" s="22">
        <v>0</v>
      </c>
      <c r="L47" s="22">
        <f>IF(I47=1,$T$10,0)+IF(J47=1,$T$11,0)+IF(K47=1,$T$12,0)</f>
        <v>0</v>
      </c>
      <c r="M47" s="22">
        <v>0</v>
      </c>
      <c r="N47" s="22">
        <v>0</v>
      </c>
      <c r="O47" s="22">
        <v>0</v>
      </c>
      <c r="P47" s="22">
        <f t="shared" ref="P47:P51" si="14">IF(M47=1,$T$17,IF(N47=1,$T$18,IF(O47=1,$T$19,0)))</f>
        <v>0</v>
      </c>
      <c r="Q47" s="22">
        <f t="shared" ref="Q47:Q51" si="15">E47+H47+L47+P47</f>
        <v>0</v>
      </c>
    </row>
    <row r="48" spans="2:17" x14ac:dyDescent="0.2">
      <c r="B48" s="22">
        <v>4</v>
      </c>
      <c r="C48" s="22"/>
      <c r="D48" s="22">
        <v>0</v>
      </c>
      <c r="E48" s="22">
        <f t="shared" si="12"/>
        <v>0</v>
      </c>
      <c r="F48" s="22">
        <v>0</v>
      </c>
      <c r="G48" s="22">
        <v>0</v>
      </c>
      <c r="H48" s="22">
        <f t="shared" si="13"/>
        <v>0</v>
      </c>
      <c r="I48" s="22">
        <v>0</v>
      </c>
      <c r="J48" s="22">
        <v>0</v>
      </c>
      <c r="K48" s="22">
        <v>0</v>
      </c>
      <c r="L48" s="22">
        <f>IF(I48=1,$T$10,0)+IF(J48=1,$T$11,0)+IF(K48=1,$T$12,0)</f>
        <v>0</v>
      </c>
      <c r="M48" s="22">
        <v>0</v>
      </c>
      <c r="N48" s="22">
        <v>0</v>
      </c>
      <c r="O48" s="22">
        <v>0</v>
      </c>
      <c r="P48" s="22">
        <f t="shared" si="14"/>
        <v>0</v>
      </c>
      <c r="Q48" s="22">
        <f t="shared" si="15"/>
        <v>0</v>
      </c>
    </row>
    <row r="49" spans="2:17" x14ac:dyDescent="0.2">
      <c r="B49" s="22">
        <v>4</v>
      </c>
      <c r="C49" s="22"/>
      <c r="D49" s="22">
        <v>0</v>
      </c>
      <c r="E49" s="22">
        <f t="shared" si="12"/>
        <v>0</v>
      </c>
      <c r="F49" s="22">
        <v>0</v>
      </c>
      <c r="G49" s="22">
        <v>0</v>
      </c>
      <c r="H49" s="22">
        <f t="shared" si="13"/>
        <v>0</v>
      </c>
      <c r="I49" s="22">
        <v>0</v>
      </c>
      <c r="J49" s="22">
        <v>0</v>
      </c>
      <c r="K49" s="22">
        <v>0</v>
      </c>
      <c r="L49" s="22">
        <f>IF(I49=1,$T$10,0)+IF(J49=1,$T$11,0)+IF(K49=1,$T$12,0)</f>
        <v>0</v>
      </c>
      <c r="M49" s="22">
        <v>0</v>
      </c>
      <c r="N49" s="22">
        <v>0</v>
      </c>
      <c r="O49" s="22">
        <v>0</v>
      </c>
      <c r="P49" s="22">
        <f t="shared" si="14"/>
        <v>0</v>
      </c>
      <c r="Q49" s="22">
        <f t="shared" si="15"/>
        <v>0</v>
      </c>
    </row>
    <row r="50" spans="2:17" x14ac:dyDescent="0.2">
      <c r="B50" s="22">
        <v>4</v>
      </c>
      <c r="C50" s="22"/>
      <c r="D50" s="22">
        <v>0</v>
      </c>
      <c r="E50" s="22">
        <f t="shared" si="12"/>
        <v>0</v>
      </c>
      <c r="F50" s="22">
        <v>0</v>
      </c>
      <c r="G50" s="22">
        <v>0</v>
      </c>
      <c r="H50" s="22">
        <f t="shared" si="13"/>
        <v>0</v>
      </c>
      <c r="I50" s="22">
        <v>0</v>
      </c>
      <c r="J50" s="22">
        <v>0</v>
      </c>
      <c r="K50" s="22">
        <v>0</v>
      </c>
      <c r="L50" s="22">
        <f>IF(I50=1,$T$10,0)+IF(J50=1,$T$11,0)+IF(K50=1,$T$12,0)</f>
        <v>0</v>
      </c>
      <c r="M50" s="22">
        <v>0</v>
      </c>
      <c r="N50" s="22">
        <v>0</v>
      </c>
      <c r="O50" s="22">
        <v>0</v>
      </c>
      <c r="P50" s="22">
        <f t="shared" si="14"/>
        <v>0</v>
      </c>
      <c r="Q50" s="22">
        <f t="shared" si="15"/>
        <v>0</v>
      </c>
    </row>
    <row r="51" spans="2:17" x14ac:dyDescent="0.2">
      <c r="B51" s="22">
        <v>4</v>
      </c>
      <c r="C51" s="22"/>
      <c r="D51" s="22">
        <v>0</v>
      </c>
      <c r="E51" s="22">
        <f t="shared" si="12"/>
        <v>0</v>
      </c>
      <c r="F51" s="22">
        <v>0</v>
      </c>
      <c r="G51" s="22">
        <v>0</v>
      </c>
      <c r="H51" s="22">
        <f t="shared" si="13"/>
        <v>0</v>
      </c>
      <c r="I51" s="22">
        <v>0</v>
      </c>
      <c r="J51" s="22">
        <v>0</v>
      </c>
      <c r="K51" s="22">
        <v>0</v>
      </c>
      <c r="L51" s="22">
        <f>IF(I51=1,$T$10,0)+IF(J51=1,$T$11,0)+IF(K51=1,$T$12,0)</f>
        <v>0</v>
      </c>
      <c r="M51" s="22">
        <v>0</v>
      </c>
      <c r="N51" s="22">
        <v>0</v>
      </c>
      <c r="O51" s="22">
        <v>0</v>
      </c>
      <c r="P51" s="22">
        <f t="shared" si="14"/>
        <v>0</v>
      </c>
      <c r="Q51" s="22">
        <f t="shared" si="15"/>
        <v>0</v>
      </c>
    </row>
    <row r="53" spans="2:17" ht="18" x14ac:dyDescent="0.3">
      <c r="P53" s="37" t="s">
        <v>249</v>
      </c>
      <c r="Q53" s="22">
        <f>SUM(Q46:Q51)</f>
        <v>95</v>
      </c>
    </row>
    <row r="54" spans="2:17" ht="18" x14ac:dyDescent="0.3">
      <c r="P54" s="37" t="s">
        <v>250</v>
      </c>
      <c r="Q54" s="22">
        <f>IF(Q53&lt;1,0,IF(Q53&lt;50,1,3))</f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9"/>
  <sheetViews>
    <sheetView workbookViewId="0">
      <selection activeCell="G7" sqref="G7"/>
    </sheetView>
  </sheetViews>
  <sheetFormatPr baseColWidth="10" defaultRowHeight="15" x14ac:dyDescent="0.2"/>
  <cols>
    <col min="1" max="1" width="4" customWidth="1"/>
    <col min="3" max="3" width="23.5546875" customWidth="1"/>
    <col min="4" max="4" width="22.6640625" customWidth="1"/>
    <col min="5" max="5" width="25.6640625" customWidth="1"/>
    <col min="6" max="6" width="15.6640625" customWidth="1"/>
    <col min="7" max="7" width="13.109375" customWidth="1"/>
    <col min="8" max="8" width="12.44140625" customWidth="1"/>
    <col min="9" max="9" width="18.6640625" customWidth="1"/>
  </cols>
  <sheetData>
    <row r="2" spans="2:19" x14ac:dyDescent="0.2">
      <c r="B2" s="30" t="s">
        <v>217</v>
      </c>
      <c r="C2" t="s">
        <v>228</v>
      </c>
      <c r="K2" s="30" t="s">
        <v>259</v>
      </c>
      <c r="L2" t="s">
        <v>258</v>
      </c>
    </row>
    <row r="3" spans="2:19" ht="18" x14ac:dyDescent="0.3">
      <c r="B3" s="37" t="s">
        <v>59</v>
      </c>
      <c r="C3" s="37" t="s">
        <v>92</v>
      </c>
      <c r="D3" s="37" t="s">
        <v>219</v>
      </c>
      <c r="E3" s="37" t="s">
        <v>220</v>
      </c>
      <c r="F3" s="37" t="s">
        <v>221</v>
      </c>
      <c r="G3" s="37" t="s">
        <v>222</v>
      </c>
      <c r="H3" s="37" t="s">
        <v>223</v>
      </c>
      <c r="I3" s="37" t="s">
        <v>218</v>
      </c>
      <c r="K3" s="37" t="s">
        <v>255</v>
      </c>
      <c r="L3" s="37" t="s">
        <v>256</v>
      </c>
      <c r="M3" s="1" t="s">
        <v>92</v>
      </c>
      <c r="N3" s="1" t="s">
        <v>274</v>
      </c>
      <c r="O3" s="1" t="s">
        <v>275</v>
      </c>
      <c r="P3" s="1" t="s">
        <v>276</v>
      </c>
      <c r="Q3" s="1" t="s">
        <v>277</v>
      </c>
      <c r="R3" s="1" t="s">
        <v>278</v>
      </c>
      <c r="S3" s="37" t="s">
        <v>321</v>
      </c>
    </row>
    <row r="4" spans="2:19" ht="15.75" x14ac:dyDescent="0.25">
      <c r="B4" s="16">
        <v>1</v>
      </c>
      <c r="C4" s="72">
        <f>'AI1'!D10</f>
        <v>2</v>
      </c>
      <c r="D4" s="72">
        <f>'AI2'!O10</f>
        <v>38.25</v>
      </c>
      <c r="E4" s="72">
        <f>'AI3'!G18</f>
        <v>20</v>
      </c>
      <c r="F4" s="72">
        <f>'AI4'!AB12</f>
        <v>64</v>
      </c>
      <c r="G4" s="72">
        <f>'AI5'!V10</f>
        <v>395</v>
      </c>
      <c r="H4" s="72">
        <f>'AI6'!Q12</f>
        <v>125</v>
      </c>
      <c r="I4" s="73">
        <f>SUM(C4:H4)</f>
        <v>644.25</v>
      </c>
      <c r="K4" s="18" t="s">
        <v>16</v>
      </c>
      <c r="L4" s="18" t="s">
        <v>18</v>
      </c>
      <c r="M4" s="16">
        <v>3</v>
      </c>
      <c r="N4" s="16">
        <v>9</v>
      </c>
      <c r="O4" s="16">
        <f>'AI3'!M4</f>
        <v>30</v>
      </c>
      <c r="P4" s="16">
        <v>20</v>
      </c>
      <c r="Q4" s="16">
        <v>25</v>
      </c>
      <c r="R4" s="29">
        <v>1</v>
      </c>
      <c r="S4" s="16">
        <f t="shared" ref="S4:S19" si="0">SUM(M4:R4)</f>
        <v>88</v>
      </c>
    </row>
    <row r="5" spans="2:19" ht="15.75" x14ac:dyDescent="0.25">
      <c r="B5" s="18">
        <v>2</v>
      </c>
      <c r="C5" s="74">
        <f>'AI1'!D21</f>
        <v>2</v>
      </c>
      <c r="D5" s="74">
        <f>'AI2'!O22</f>
        <v>10.149999999999999</v>
      </c>
      <c r="E5" s="74">
        <f>'AI3'!G18</f>
        <v>20</v>
      </c>
      <c r="F5" s="74">
        <f>'AI4'!AB24</f>
        <v>10</v>
      </c>
      <c r="G5" s="74">
        <f>'AI5'!V21</f>
        <v>140</v>
      </c>
      <c r="H5" s="74">
        <f>'AI6'!Q25</f>
        <v>115</v>
      </c>
      <c r="I5" s="75">
        <f>SUM(C5:H5)</f>
        <v>297.14999999999998</v>
      </c>
      <c r="K5" s="18" t="s">
        <v>20</v>
      </c>
      <c r="L5" s="18" t="s">
        <v>18</v>
      </c>
      <c r="M5" s="18">
        <v>3</v>
      </c>
      <c r="N5" s="18">
        <v>9</v>
      </c>
      <c r="O5" s="18">
        <f>'AI3'!M5</f>
        <v>30</v>
      </c>
      <c r="P5" s="18">
        <v>20</v>
      </c>
      <c r="Q5" s="18">
        <v>25</v>
      </c>
      <c r="R5" s="45">
        <v>1</v>
      </c>
      <c r="S5" s="18">
        <f t="shared" si="0"/>
        <v>88</v>
      </c>
    </row>
    <row r="6" spans="2:19" ht="15.75" x14ac:dyDescent="0.25">
      <c r="B6" s="18">
        <v>3</v>
      </c>
      <c r="C6" s="74">
        <f>'AI1'!D32</f>
        <v>3</v>
      </c>
      <c r="D6" s="74">
        <f>'AI2'!O33</f>
        <v>5.0999999999999996</v>
      </c>
      <c r="E6" s="74">
        <f>'AI3'!G27</f>
        <v>60</v>
      </c>
      <c r="F6" s="74">
        <f>'AI4'!AB37</f>
        <v>0</v>
      </c>
      <c r="G6" s="74">
        <f>'AI5'!V33</f>
        <v>60</v>
      </c>
      <c r="H6" s="74">
        <f>'AI6'!Q39</f>
        <v>80</v>
      </c>
      <c r="I6" s="75">
        <f>SUM(C6:H6)</f>
        <v>208.1</v>
      </c>
      <c r="K6" s="18" t="s">
        <v>21</v>
      </c>
      <c r="L6" s="18" t="s">
        <v>18</v>
      </c>
      <c r="M6" s="18">
        <v>2</v>
      </c>
      <c r="N6" s="18">
        <v>5</v>
      </c>
      <c r="O6" s="18">
        <f>'AI3'!M6</f>
        <v>20</v>
      </c>
      <c r="P6" s="18">
        <v>10</v>
      </c>
      <c r="Q6" s="18">
        <v>10</v>
      </c>
      <c r="R6" s="45">
        <v>1</v>
      </c>
      <c r="S6" s="18">
        <f t="shared" si="0"/>
        <v>48</v>
      </c>
    </row>
    <row r="7" spans="2:19" ht="15.75" x14ac:dyDescent="0.25">
      <c r="B7" s="20">
        <v>4</v>
      </c>
      <c r="C7" s="76">
        <f>'AI1'!D43</f>
        <v>3</v>
      </c>
      <c r="D7" s="76">
        <f>'AI2'!O44</f>
        <v>38.25</v>
      </c>
      <c r="E7" s="76">
        <f>'AI3'!G36</f>
        <v>80</v>
      </c>
      <c r="F7" s="76">
        <f>'AI4'!AB45</f>
        <v>34</v>
      </c>
      <c r="G7" s="76">
        <f>'AI5'!V44</f>
        <v>0</v>
      </c>
      <c r="H7" s="76">
        <f>'AI6'!Q53</f>
        <v>95</v>
      </c>
      <c r="I7" s="77">
        <f>SUM(C7:H7)</f>
        <v>250.25</v>
      </c>
      <c r="K7" s="18" t="s">
        <v>22</v>
      </c>
      <c r="L7" s="18" t="s">
        <v>18</v>
      </c>
      <c r="M7" s="18">
        <v>1</v>
      </c>
      <c r="N7" s="18">
        <v>5</v>
      </c>
      <c r="O7" s="18">
        <f>'AI3'!M7</f>
        <v>0</v>
      </c>
      <c r="P7" s="18">
        <v>5</v>
      </c>
      <c r="Q7" s="18">
        <v>25</v>
      </c>
      <c r="R7" s="45">
        <v>1</v>
      </c>
      <c r="S7" s="18">
        <f t="shared" si="0"/>
        <v>37</v>
      </c>
    </row>
    <row r="8" spans="2:19" x14ac:dyDescent="0.2">
      <c r="K8" s="18" t="s">
        <v>23</v>
      </c>
      <c r="L8" s="18" t="s">
        <v>18</v>
      </c>
      <c r="M8" s="18">
        <v>0</v>
      </c>
      <c r="N8" s="18">
        <v>0</v>
      </c>
      <c r="O8" s="18">
        <f>'AI3'!M8</f>
        <v>0</v>
      </c>
      <c r="P8" s="18">
        <v>0</v>
      </c>
      <c r="Q8" s="18">
        <v>5</v>
      </c>
      <c r="R8" s="45">
        <v>0</v>
      </c>
      <c r="S8" s="18">
        <f t="shared" si="0"/>
        <v>5</v>
      </c>
    </row>
    <row r="9" spans="2:19" x14ac:dyDescent="0.2">
      <c r="K9" s="18" t="s">
        <v>16</v>
      </c>
      <c r="L9" s="18" t="s">
        <v>17</v>
      </c>
      <c r="M9" s="18">
        <v>3</v>
      </c>
      <c r="N9" s="18">
        <v>9</v>
      </c>
      <c r="O9" s="18">
        <v>30</v>
      </c>
      <c r="P9" s="18">
        <v>20</v>
      </c>
      <c r="Q9" s="18">
        <v>25</v>
      </c>
      <c r="R9" s="45">
        <v>1</v>
      </c>
      <c r="S9" s="18">
        <f t="shared" si="0"/>
        <v>88</v>
      </c>
    </row>
    <row r="10" spans="2:19" x14ac:dyDescent="0.2">
      <c r="K10" s="18" t="s">
        <v>20</v>
      </c>
      <c r="L10" s="18" t="s">
        <v>17</v>
      </c>
      <c r="M10" s="18">
        <v>3</v>
      </c>
      <c r="N10" s="18">
        <v>9</v>
      </c>
      <c r="O10" s="18">
        <v>30</v>
      </c>
      <c r="P10" s="18">
        <v>20</v>
      </c>
      <c r="Q10" s="18">
        <v>25</v>
      </c>
      <c r="R10" s="45">
        <v>1</v>
      </c>
      <c r="S10" s="18">
        <f t="shared" si="0"/>
        <v>88</v>
      </c>
    </row>
    <row r="11" spans="2:19" x14ac:dyDescent="0.2">
      <c r="K11" s="18" t="s">
        <v>21</v>
      </c>
      <c r="L11" s="18" t="s">
        <v>17</v>
      </c>
      <c r="M11" s="18">
        <v>2</v>
      </c>
      <c r="N11" s="18">
        <v>5</v>
      </c>
      <c r="O11" s="18">
        <v>20</v>
      </c>
      <c r="P11" s="18">
        <v>10</v>
      </c>
      <c r="Q11" s="18">
        <v>10</v>
      </c>
      <c r="R11" s="45">
        <v>1</v>
      </c>
      <c r="S11" s="18">
        <f t="shared" si="0"/>
        <v>48</v>
      </c>
    </row>
    <row r="12" spans="2:19" x14ac:dyDescent="0.2">
      <c r="B12" s="85" t="s">
        <v>273</v>
      </c>
      <c r="K12" s="18" t="s">
        <v>22</v>
      </c>
      <c r="L12" s="18" t="s">
        <v>17</v>
      </c>
      <c r="M12" s="18">
        <v>1</v>
      </c>
      <c r="N12" s="18">
        <v>5</v>
      </c>
      <c r="O12" s="18">
        <v>0</v>
      </c>
      <c r="P12" s="18">
        <v>5</v>
      </c>
      <c r="Q12" s="18">
        <v>25</v>
      </c>
      <c r="R12" s="45">
        <v>1</v>
      </c>
      <c r="S12" s="18">
        <f t="shared" si="0"/>
        <v>37</v>
      </c>
    </row>
    <row r="13" spans="2:19" ht="18" x14ac:dyDescent="0.3">
      <c r="B13" s="1" t="s">
        <v>92</v>
      </c>
      <c r="C13" s="92" t="s">
        <v>279</v>
      </c>
      <c r="D13" s="86"/>
      <c r="E13" s="87"/>
      <c r="K13" s="18" t="s">
        <v>23</v>
      </c>
      <c r="L13" s="18" t="s">
        <v>17</v>
      </c>
      <c r="M13" s="18">
        <v>0</v>
      </c>
      <c r="N13" s="18">
        <v>0</v>
      </c>
      <c r="O13" s="18">
        <v>0</v>
      </c>
      <c r="P13" s="18">
        <v>0</v>
      </c>
      <c r="Q13" s="18">
        <v>5</v>
      </c>
      <c r="R13" s="45">
        <v>0</v>
      </c>
      <c r="S13" s="18">
        <f t="shared" si="0"/>
        <v>5</v>
      </c>
    </row>
    <row r="14" spans="2:19" ht="18" x14ac:dyDescent="0.3">
      <c r="B14" s="7" t="s">
        <v>274</v>
      </c>
      <c r="C14" s="93" t="s">
        <v>280</v>
      </c>
      <c r="D14" s="88"/>
      <c r="E14" s="89"/>
      <c r="K14" s="18" t="s">
        <v>16</v>
      </c>
      <c r="L14" s="18" t="s">
        <v>24</v>
      </c>
      <c r="M14" s="18">
        <v>3</v>
      </c>
      <c r="N14" s="18">
        <v>9</v>
      </c>
      <c r="O14" s="18">
        <v>30</v>
      </c>
      <c r="P14" s="18">
        <v>20</v>
      </c>
      <c r="Q14" s="18">
        <v>25</v>
      </c>
      <c r="R14" s="45">
        <v>1</v>
      </c>
      <c r="S14" s="18">
        <f t="shared" si="0"/>
        <v>88</v>
      </c>
    </row>
    <row r="15" spans="2:19" ht="18" x14ac:dyDescent="0.3">
      <c r="B15" s="7" t="s">
        <v>275</v>
      </c>
      <c r="C15" s="93" t="s">
        <v>281</v>
      </c>
      <c r="D15" s="88"/>
      <c r="E15" s="89"/>
      <c r="K15" s="18" t="s">
        <v>20</v>
      </c>
      <c r="L15" s="18" t="s">
        <v>24</v>
      </c>
      <c r="M15" s="18">
        <v>3</v>
      </c>
      <c r="N15" s="18">
        <v>9</v>
      </c>
      <c r="O15" s="18">
        <v>30</v>
      </c>
      <c r="P15" s="18">
        <v>20</v>
      </c>
      <c r="Q15" s="18">
        <v>25</v>
      </c>
      <c r="R15" s="45">
        <v>1</v>
      </c>
      <c r="S15" s="18">
        <f t="shared" si="0"/>
        <v>88</v>
      </c>
    </row>
    <row r="16" spans="2:19" ht="18" x14ac:dyDescent="0.3">
      <c r="B16" s="7" t="s">
        <v>276</v>
      </c>
      <c r="C16" s="93" t="s">
        <v>282</v>
      </c>
      <c r="D16" s="88"/>
      <c r="E16" s="89"/>
      <c r="K16" s="18" t="s">
        <v>21</v>
      </c>
      <c r="L16" s="18" t="s">
        <v>24</v>
      </c>
      <c r="M16" s="18">
        <v>2</v>
      </c>
      <c r="N16" s="18">
        <v>5</v>
      </c>
      <c r="O16" s="18">
        <v>20</v>
      </c>
      <c r="P16" s="18">
        <v>10</v>
      </c>
      <c r="Q16" s="18">
        <v>10</v>
      </c>
      <c r="R16" s="45">
        <v>1</v>
      </c>
      <c r="S16" s="18">
        <f t="shared" si="0"/>
        <v>48</v>
      </c>
    </row>
    <row r="17" spans="2:19" ht="18" x14ac:dyDescent="0.3">
      <c r="B17" s="7" t="s">
        <v>277</v>
      </c>
      <c r="C17" s="93" t="s">
        <v>283</v>
      </c>
      <c r="D17" s="88"/>
      <c r="E17" s="89"/>
      <c r="K17" s="18" t="s">
        <v>22</v>
      </c>
      <c r="L17" s="18" t="s">
        <v>24</v>
      </c>
      <c r="M17" s="18">
        <v>1</v>
      </c>
      <c r="N17" s="18">
        <v>5</v>
      </c>
      <c r="O17" s="18">
        <v>0</v>
      </c>
      <c r="P17" s="18">
        <v>5</v>
      </c>
      <c r="Q17" s="18">
        <v>25</v>
      </c>
      <c r="R17" s="45">
        <v>1</v>
      </c>
      <c r="S17" s="18">
        <f t="shared" si="0"/>
        <v>37</v>
      </c>
    </row>
    <row r="18" spans="2:19" ht="18" x14ac:dyDescent="0.3">
      <c r="B18" s="15" t="s">
        <v>278</v>
      </c>
      <c r="C18" s="94" t="s">
        <v>284</v>
      </c>
      <c r="D18" s="90"/>
      <c r="E18" s="91"/>
      <c r="K18" s="18" t="s">
        <v>23</v>
      </c>
      <c r="L18" s="18" t="s">
        <v>24</v>
      </c>
      <c r="M18" s="18">
        <v>0</v>
      </c>
      <c r="N18" s="18">
        <v>0</v>
      </c>
      <c r="O18" s="18">
        <v>0</v>
      </c>
      <c r="P18" s="18">
        <v>0</v>
      </c>
      <c r="Q18" s="18">
        <v>5</v>
      </c>
      <c r="R18" s="45">
        <v>0</v>
      </c>
      <c r="S18" s="18">
        <f t="shared" si="0"/>
        <v>5</v>
      </c>
    </row>
    <row r="19" spans="2:19" x14ac:dyDescent="0.2">
      <c r="K19" s="20" t="s">
        <v>25</v>
      </c>
      <c r="L19" s="20" t="s">
        <v>24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46">
        <v>0</v>
      </c>
      <c r="S19" s="2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AI</vt:lpstr>
      <vt:lpstr>AI1</vt:lpstr>
      <vt:lpstr>AI2</vt:lpstr>
      <vt:lpstr>AI3</vt:lpstr>
      <vt:lpstr>AI4</vt:lpstr>
      <vt:lpstr>AI5</vt:lpstr>
      <vt:lpstr>AI6</vt:lpstr>
      <vt:lpstr>Puntaje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</dc:creator>
  <cp:lastModifiedBy>Usuario</cp:lastModifiedBy>
  <dcterms:created xsi:type="dcterms:W3CDTF">2023-09-18T16:26:51Z</dcterms:created>
  <dcterms:modified xsi:type="dcterms:W3CDTF">2026-04-14T14:14:57Z</dcterms:modified>
</cp:coreProperties>
</file>